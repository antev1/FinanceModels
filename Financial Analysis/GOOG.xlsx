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1158014C-8301-4962-86BE-D47DFB51FE0C}" xr6:coauthVersionLast="47" xr6:coauthVersionMax="47" xr10:uidLastSave="{00000000-0000-0000-0000-000000000000}"/>
  <bookViews>
    <workbookView xWindow="-108" yWindow="-108" windowWidth="23256" windowHeight="12576" activeTab="1" xr2:uid="{1C0874DB-3046-4806-9648-99CA4AF089C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M34" i="2" l="1"/>
  <c r="AL12" i="2"/>
  <c r="AL25" i="2"/>
  <c r="D7" i="1"/>
  <c r="D6" i="1"/>
  <c r="BJ21" i="2"/>
  <c r="BI21" i="2"/>
  <c r="BH21" i="2"/>
  <c r="BG21" i="2"/>
  <c r="BF21" i="2"/>
  <c r="BE21" i="2"/>
  <c r="BD21" i="2"/>
  <c r="BC21" i="2"/>
  <c r="BB21" i="2"/>
  <c r="BA21" i="2"/>
  <c r="AZ21" i="2"/>
  <c r="AL21" i="2"/>
  <c r="D4" i="1"/>
  <c r="AL33" i="2"/>
  <c r="AL29" i="2"/>
  <c r="AL28" i="2"/>
  <c r="AL27" i="2"/>
  <c r="AL24" i="2"/>
  <c r="AK24" i="2"/>
  <c r="AK35" i="2"/>
  <c r="AK33" i="2"/>
  <c r="AK27" i="2"/>
  <c r="AJ21" i="2"/>
  <c r="AJ29" i="2"/>
  <c r="AK29" i="2"/>
  <c r="AI10" i="2"/>
  <c r="AI12" i="2" s="1"/>
  <c r="AZ9" i="2"/>
  <c r="BA9" i="2" s="1"/>
  <c r="BB9" i="2" s="1"/>
  <c r="BC9" i="2" s="1"/>
  <c r="BD9" i="2" s="1"/>
  <c r="BE9" i="2" s="1"/>
  <c r="BF9" i="2" s="1"/>
  <c r="BG9" i="2" s="1"/>
  <c r="BH9" i="2" s="1"/>
  <c r="BI9" i="2" s="1"/>
  <c r="BJ9" i="2" s="1"/>
  <c r="AJ35" i="2"/>
  <c r="AI35" i="2"/>
  <c r="AJ33" i="2"/>
  <c r="AI33" i="2"/>
  <c r="AK28" i="2"/>
  <c r="AJ28" i="2"/>
  <c r="AI28" i="2"/>
  <c r="AJ27" i="2"/>
  <c r="AI27" i="2"/>
  <c r="AK26" i="2"/>
  <c r="AJ26" i="2"/>
  <c r="AI26" i="2"/>
  <c r="AK25" i="2"/>
  <c r="AJ25" i="2"/>
  <c r="AI25" i="2"/>
  <c r="AJ24" i="2"/>
  <c r="AI24" i="2"/>
  <c r="AI21" i="2"/>
  <c r="AZ17" i="2"/>
  <c r="AL26" i="2"/>
  <c r="AY21" i="2"/>
  <c r="AH21" i="2"/>
  <c r="AH10" i="2"/>
  <c r="AH12" i="2" s="1"/>
  <c r="AY9" i="2"/>
  <c r="AD9" i="2"/>
  <c r="AD8" i="2"/>
  <c r="AD7" i="2"/>
  <c r="AD6" i="2"/>
  <c r="AY6" i="2" s="1"/>
  <c r="AD5" i="2"/>
  <c r="AH26" i="2" s="1"/>
  <c r="AD4" i="2"/>
  <c r="AD3" i="2"/>
  <c r="AY3" i="2" s="1"/>
  <c r="AW29" i="2"/>
  <c r="AV29" i="2"/>
  <c r="AW28" i="2"/>
  <c r="AV28" i="2"/>
  <c r="AW27" i="2"/>
  <c r="AV27" i="2"/>
  <c r="AW26" i="2"/>
  <c r="AV26" i="2"/>
  <c r="AW25" i="2"/>
  <c r="AV25" i="2"/>
  <c r="AW24" i="2"/>
  <c r="AV24" i="2"/>
  <c r="AX29" i="2"/>
  <c r="AX28" i="2"/>
  <c r="AX27" i="2"/>
  <c r="AX26" i="2"/>
  <c r="AX25" i="2"/>
  <c r="AX24" i="2"/>
  <c r="AG29" i="2"/>
  <c r="AF29" i="2"/>
  <c r="AE29" i="2"/>
  <c r="AG28" i="2"/>
  <c r="AF28" i="2"/>
  <c r="AE28" i="2"/>
  <c r="AG27" i="2"/>
  <c r="AF27" i="2"/>
  <c r="AE27" i="2"/>
  <c r="AG26" i="2"/>
  <c r="AF26" i="2"/>
  <c r="AE26" i="2"/>
  <c r="AG25" i="2"/>
  <c r="AF25" i="2"/>
  <c r="AE25" i="2"/>
  <c r="AG24" i="2"/>
  <c r="AF24" i="2"/>
  <c r="AE24" i="2"/>
  <c r="AA10" i="2"/>
  <c r="AF10" i="2"/>
  <c r="AB10" i="2"/>
  <c r="AG10" i="2"/>
  <c r="AG12" i="2" s="1"/>
  <c r="AC10" i="2"/>
  <c r="BM38" i="2"/>
  <c r="AG21" i="2"/>
  <c r="AZ5" i="2" l="1"/>
  <c r="AZ13" i="2"/>
  <c r="BA13" i="2" s="1"/>
  <c r="AZ7" i="2"/>
  <c r="AZ4" i="2"/>
  <c r="BA4" i="2" s="1"/>
  <c r="BB4" i="2" s="1"/>
  <c r="AZ3" i="2"/>
  <c r="AZ15" i="2"/>
  <c r="BA15" i="2" s="1"/>
  <c r="BB15" i="2" s="1"/>
  <c r="BC15" i="2" s="1"/>
  <c r="AL35" i="2"/>
  <c r="AZ6" i="2"/>
  <c r="BA6" i="2" s="1"/>
  <c r="BB6" i="2" s="1"/>
  <c r="BC6" i="2" s="1"/>
  <c r="BD6" i="2" s="1"/>
  <c r="BE6" i="2" s="1"/>
  <c r="AJ10" i="2"/>
  <c r="AJ12" i="2" s="1"/>
  <c r="AK10" i="2"/>
  <c r="AK12" i="2" s="1"/>
  <c r="AL10" i="2"/>
  <c r="AZ8" i="2"/>
  <c r="AI29" i="2"/>
  <c r="AY5" i="2"/>
  <c r="AY27" i="2"/>
  <c r="AY24" i="2"/>
  <c r="AH25" i="2"/>
  <c r="AY4" i="2"/>
  <c r="AH28" i="2"/>
  <c r="AY7" i="2"/>
  <c r="AH29" i="2"/>
  <c r="AY8" i="2"/>
  <c r="AH24" i="2"/>
  <c r="AH27" i="2"/>
  <c r="AF21" i="2"/>
  <c r="AF12" i="2"/>
  <c r="AY13" i="2"/>
  <c r="AY17" i="2"/>
  <c r="AF35" i="2"/>
  <c r="AH35" i="2"/>
  <c r="AH34" i="2"/>
  <c r="AG34" i="2"/>
  <c r="AH33" i="2"/>
  <c r="AF33" i="2"/>
  <c r="AH31" i="2"/>
  <c r="AG35" i="2"/>
  <c r="AG33" i="2"/>
  <c r="AH30" i="2"/>
  <c r="AG30" i="2"/>
  <c r="AX19" i="2"/>
  <c r="AX17" i="2"/>
  <c r="AX15" i="2"/>
  <c r="AX14" i="2"/>
  <c r="AX13" i="2"/>
  <c r="AX11" i="2"/>
  <c r="AX10" i="2"/>
  <c r="AW19" i="2"/>
  <c r="AW17" i="2"/>
  <c r="AW15" i="2"/>
  <c r="AW14" i="2"/>
  <c r="AW13" i="2"/>
  <c r="AW11" i="2"/>
  <c r="AW10" i="2"/>
  <c r="T12" i="2"/>
  <c r="T16" i="2" s="1"/>
  <c r="T18" i="2" s="1"/>
  <c r="T20" i="2" s="1"/>
  <c r="T22" i="2" s="1"/>
  <c r="U12" i="2"/>
  <c r="U16" i="2" s="1"/>
  <c r="U18" i="2" s="1"/>
  <c r="U20" i="2" s="1"/>
  <c r="U22" i="2" s="1"/>
  <c r="AE35" i="2"/>
  <c r="AD35" i="2"/>
  <c r="AC35" i="2"/>
  <c r="AB35" i="2"/>
  <c r="AA35" i="2"/>
  <c r="Z35" i="2"/>
  <c r="Y35" i="2"/>
  <c r="X35" i="2"/>
  <c r="W35" i="2"/>
  <c r="AE34" i="2"/>
  <c r="AD34" i="2"/>
  <c r="AC34" i="2"/>
  <c r="AB34" i="2"/>
  <c r="AA34" i="2"/>
  <c r="Z34" i="2"/>
  <c r="Y34" i="2"/>
  <c r="X34" i="2"/>
  <c r="W34" i="2"/>
  <c r="AE33" i="2"/>
  <c r="AD33" i="2"/>
  <c r="AC33" i="2"/>
  <c r="AB33" i="2"/>
  <c r="AA33" i="2"/>
  <c r="Z33" i="2"/>
  <c r="Y33" i="2"/>
  <c r="X33" i="2"/>
  <c r="W33" i="2"/>
  <c r="AE30" i="2"/>
  <c r="AD30" i="2"/>
  <c r="AC30" i="2"/>
  <c r="AB30" i="2"/>
  <c r="AA30" i="2"/>
  <c r="Z30" i="2"/>
  <c r="Y30" i="2"/>
  <c r="X30" i="2"/>
  <c r="W30" i="2"/>
  <c r="V12" i="2"/>
  <c r="V16" i="2" s="1"/>
  <c r="V18" i="2" s="1"/>
  <c r="V20" i="2" s="1"/>
  <c r="V22" i="2" s="1"/>
  <c r="W12" i="2"/>
  <c r="W16" i="2" s="1"/>
  <c r="W18" i="2" s="1"/>
  <c r="W20" i="2" s="1"/>
  <c r="W22" i="2" s="1"/>
  <c r="X12" i="2"/>
  <c r="X16" i="2" s="1"/>
  <c r="X18" i="2" s="1"/>
  <c r="X20" i="2" s="1"/>
  <c r="X22" i="2" s="1"/>
  <c r="AB12" i="2"/>
  <c r="AB16" i="2" s="1"/>
  <c r="AB18" i="2" s="1"/>
  <c r="AB20" i="2" s="1"/>
  <c r="AB22" i="2" s="1"/>
  <c r="Y12" i="2"/>
  <c r="Y16" i="2" s="1"/>
  <c r="Y18" i="2" s="1"/>
  <c r="Y20" i="2" s="1"/>
  <c r="Y22" i="2" s="1"/>
  <c r="AC12" i="2"/>
  <c r="AC16" i="2" s="1"/>
  <c r="AC18" i="2" s="1"/>
  <c r="AC20" i="2" s="1"/>
  <c r="AC22" i="2" s="1"/>
  <c r="Z12" i="2"/>
  <c r="Z16" i="2" s="1"/>
  <c r="Z18" i="2" s="1"/>
  <c r="Z20" i="2" s="1"/>
  <c r="Z22" i="2" s="1"/>
  <c r="AD12" i="2"/>
  <c r="AD16" i="2" s="1"/>
  <c r="AD18" i="2" s="1"/>
  <c r="AD20" i="2" s="1"/>
  <c r="AD22" i="2" s="1"/>
  <c r="BA3" i="2" l="1"/>
  <c r="BB3" i="2" s="1"/>
  <c r="BC3" i="2" s="1"/>
  <c r="BD3" i="2" s="1"/>
  <c r="BA17" i="2"/>
  <c r="BB17" i="2" s="1"/>
  <c r="BC17" i="2" s="1"/>
  <c r="BD17" i="2" s="1"/>
  <c r="BE17" i="2" s="1"/>
  <c r="BF17" i="2" s="1"/>
  <c r="BG17" i="2" s="1"/>
  <c r="BH17" i="2" s="1"/>
  <c r="BI17" i="2" s="1"/>
  <c r="BJ17" i="2" s="1"/>
  <c r="AL34" i="2"/>
  <c r="BF6" i="2"/>
  <c r="BG6" i="2" s="1"/>
  <c r="BH6" i="2" s="1"/>
  <c r="BI6" i="2" s="1"/>
  <c r="BJ6" i="2" s="1"/>
  <c r="AK34" i="2"/>
  <c r="BB13" i="2"/>
  <c r="AJ30" i="2"/>
  <c r="AJ34" i="2"/>
  <c r="AK30" i="2"/>
  <c r="AL30" i="2"/>
  <c r="AI30" i="2"/>
  <c r="AY10" i="2"/>
  <c r="AY26" i="2"/>
  <c r="AY25" i="2"/>
  <c r="AZ24" i="2"/>
  <c r="AY29" i="2"/>
  <c r="AY28" i="2"/>
  <c r="AZ27" i="2"/>
  <c r="AW12" i="2"/>
  <c r="X32" i="2"/>
  <c r="Z32" i="2"/>
  <c r="AY15" i="2"/>
  <c r="Z31" i="2"/>
  <c r="AC36" i="2"/>
  <c r="AD31" i="2"/>
  <c r="AC32" i="2"/>
  <c r="Y36" i="2"/>
  <c r="Y37" i="2"/>
  <c r="AB31" i="2"/>
  <c r="W31" i="2"/>
  <c r="AD32" i="2"/>
  <c r="Z36" i="2"/>
  <c r="Z37" i="2"/>
  <c r="X31" i="2"/>
  <c r="W32" i="2"/>
  <c r="Y32" i="2"/>
  <c r="AC37" i="2"/>
  <c r="AD36" i="2"/>
  <c r="AD37" i="2"/>
  <c r="Y31" i="2"/>
  <c r="AB36" i="2"/>
  <c r="AB37" i="2"/>
  <c r="W36" i="2"/>
  <c r="W37" i="2"/>
  <c r="AC31" i="2"/>
  <c r="AB32" i="2"/>
  <c r="X36" i="2"/>
  <c r="X37" i="2"/>
  <c r="AG16" i="2"/>
  <c r="AG18" i="2" s="1"/>
  <c r="AG36" i="2" s="1"/>
  <c r="AH16" i="2"/>
  <c r="AF30" i="2"/>
  <c r="AG31" i="2"/>
  <c r="AA12" i="2"/>
  <c r="AE12" i="2"/>
  <c r="V33" i="2"/>
  <c r="U33" i="2"/>
  <c r="T33" i="2"/>
  <c r="S12" i="2"/>
  <c r="AV17" i="2"/>
  <c r="V35" i="2"/>
  <c r="U35" i="2"/>
  <c r="T35" i="2"/>
  <c r="K15" i="2"/>
  <c r="K35" i="2" s="1"/>
  <c r="S35" i="2"/>
  <c r="R35" i="2"/>
  <c r="Q35" i="2"/>
  <c r="P35" i="2"/>
  <c r="N35" i="2"/>
  <c r="M35" i="2"/>
  <c r="L35" i="2"/>
  <c r="J35" i="2"/>
  <c r="I35" i="2"/>
  <c r="H35" i="2"/>
  <c r="G35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S30" i="2"/>
  <c r="R12" i="2"/>
  <c r="Q12" i="2"/>
  <c r="AJ31" i="2" l="1"/>
  <c r="AJ16" i="2"/>
  <c r="AJ18" i="2" s="1"/>
  <c r="AK31" i="2"/>
  <c r="AK16" i="2"/>
  <c r="AL31" i="2"/>
  <c r="AL16" i="2"/>
  <c r="AI31" i="2"/>
  <c r="AI16" i="2"/>
  <c r="AZ14" i="2"/>
  <c r="AI34" i="2"/>
  <c r="AZ10" i="2"/>
  <c r="BA5" i="2"/>
  <c r="AZ26" i="2"/>
  <c r="BA7" i="2"/>
  <c r="AZ28" i="2"/>
  <c r="AZ25" i="2"/>
  <c r="BA8" i="2"/>
  <c r="AZ29" i="2"/>
  <c r="BA24" i="2"/>
  <c r="BA27" i="2"/>
  <c r="AE16" i="2"/>
  <c r="AE31" i="2"/>
  <c r="AA16" i="2"/>
  <c r="AA31" i="2"/>
  <c r="AG32" i="2"/>
  <c r="AG20" i="2"/>
  <c r="AH32" i="2"/>
  <c r="AH18" i="2"/>
  <c r="AF16" i="2"/>
  <c r="AF31" i="2"/>
  <c r="AF34" i="2"/>
  <c r="AY14" i="2"/>
  <c r="AY11" i="2"/>
  <c r="AY12" i="2" s="1"/>
  <c r="AV13" i="2"/>
  <c r="AV15" i="2"/>
  <c r="BD15" i="2" s="1"/>
  <c r="BE15" i="2" s="1"/>
  <c r="BF15" i="2" s="1"/>
  <c r="BG15" i="2" s="1"/>
  <c r="O35" i="2"/>
  <c r="U30" i="2"/>
  <c r="V34" i="2"/>
  <c r="T34" i="2"/>
  <c r="U31" i="2"/>
  <c r="AV10" i="2"/>
  <c r="V30" i="2"/>
  <c r="T30" i="2"/>
  <c r="AU14" i="2"/>
  <c r="AU13" i="2"/>
  <c r="F34" i="2"/>
  <c r="E34" i="2"/>
  <c r="D34" i="2"/>
  <c r="C34" i="2"/>
  <c r="J30" i="2"/>
  <c r="I30" i="2"/>
  <c r="H30" i="2"/>
  <c r="G30" i="2"/>
  <c r="AU17" i="2"/>
  <c r="AT19" i="2"/>
  <c r="AT17" i="2"/>
  <c r="AT14" i="2"/>
  <c r="AT13" i="2"/>
  <c r="AT11" i="2"/>
  <c r="AT10" i="2"/>
  <c r="AS19" i="2"/>
  <c r="AS17" i="2"/>
  <c r="AS15" i="2"/>
  <c r="AS14" i="2"/>
  <c r="AS13" i="2"/>
  <c r="AS11" i="2"/>
  <c r="AS10" i="2"/>
  <c r="AR17" i="2"/>
  <c r="AR15" i="2"/>
  <c r="AR14" i="2"/>
  <c r="AR13" i="2"/>
  <c r="AR11" i="2"/>
  <c r="AR10" i="2"/>
  <c r="AZ11" i="2" l="1"/>
  <c r="AZ12" i="2" s="1"/>
  <c r="AJ32" i="2"/>
  <c r="AJ36" i="2"/>
  <c r="AL18" i="2"/>
  <c r="AL32" i="2"/>
  <c r="AK32" i="2"/>
  <c r="AK18" i="2"/>
  <c r="AI18" i="2"/>
  <c r="AI32" i="2"/>
  <c r="BB5" i="2"/>
  <c r="BA26" i="2"/>
  <c r="BB24" i="2"/>
  <c r="BA25" i="2"/>
  <c r="BB8" i="2"/>
  <c r="BA29" i="2"/>
  <c r="BB27" i="2"/>
  <c r="BA10" i="2"/>
  <c r="BB7" i="2"/>
  <c r="BA28" i="2"/>
  <c r="AE18" i="2"/>
  <c r="AE32" i="2"/>
  <c r="AA18" i="2"/>
  <c r="AA32" i="2"/>
  <c r="AG22" i="2"/>
  <c r="AG37" i="2"/>
  <c r="BH15" i="2"/>
  <c r="BG35" i="2"/>
  <c r="AH36" i="2"/>
  <c r="AF18" i="2"/>
  <c r="AF32" i="2"/>
  <c r="AT33" i="2"/>
  <c r="AR12" i="2"/>
  <c r="AR31" i="2" s="1"/>
  <c r="U32" i="2"/>
  <c r="S34" i="2"/>
  <c r="AV14" i="2"/>
  <c r="S16" i="2"/>
  <c r="U34" i="2"/>
  <c r="AS35" i="2"/>
  <c r="S31" i="2"/>
  <c r="AU33" i="2"/>
  <c r="AS33" i="2"/>
  <c r="V31" i="2"/>
  <c r="T31" i="2"/>
  <c r="AS34" i="2"/>
  <c r="AR34" i="2"/>
  <c r="AT30" i="2"/>
  <c r="AT34" i="2"/>
  <c r="AS30" i="2"/>
  <c r="AU15" i="2"/>
  <c r="AV35" i="2" s="1"/>
  <c r="R16" i="2"/>
  <c r="R18" i="2" s="1"/>
  <c r="AU10" i="2"/>
  <c r="AT12" i="2"/>
  <c r="AS12" i="2"/>
  <c r="C12" i="2"/>
  <c r="D12" i="2"/>
  <c r="E12" i="2"/>
  <c r="F19" i="2"/>
  <c r="F12" i="2"/>
  <c r="R34" i="2"/>
  <c r="Q34" i="2"/>
  <c r="P34" i="2"/>
  <c r="O34" i="2"/>
  <c r="N34" i="2"/>
  <c r="M34" i="2"/>
  <c r="L34" i="2"/>
  <c r="K34" i="2"/>
  <c r="J34" i="2"/>
  <c r="I34" i="2"/>
  <c r="H34" i="2"/>
  <c r="G34" i="2"/>
  <c r="G12" i="2"/>
  <c r="G16" i="2" s="1"/>
  <c r="G18" i="2" s="1"/>
  <c r="H12" i="2"/>
  <c r="H16" i="2" s="1"/>
  <c r="H18" i="2" s="1"/>
  <c r="H20" i="2" s="1"/>
  <c r="I12" i="2"/>
  <c r="I31" i="2" s="1"/>
  <c r="M12" i="2"/>
  <c r="M16" i="2" s="1"/>
  <c r="M18" i="2" s="1"/>
  <c r="J12" i="2"/>
  <c r="J31" i="2" s="1"/>
  <c r="N12" i="2"/>
  <c r="N31" i="2" s="1"/>
  <c r="AT15" i="2"/>
  <c r="K12" i="2"/>
  <c r="K31" i="2" s="1"/>
  <c r="O12" i="2"/>
  <c r="O16" i="2" s="1"/>
  <c r="O18" i="2" s="1"/>
  <c r="O20" i="2" s="1"/>
  <c r="R31" i="2"/>
  <c r="R30" i="2"/>
  <c r="Q30" i="2"/>
  <c r="O30" i="2"/>
  <c r="N30" i="2"/>
  <c r="M30" i="2"/>
  <c r="L30" i="2"/>
  <c r="K30" i="2"/>
  <c r="P30" i="2"/>
  <c r="L12" i="2"/>
  <c r="L16" i="2" s="1"/>
  <c r="L18" i="2" s="1"/>
  <c r="L20" i="2" s="1"/>
  <c r="P12" i="2"/>
  <c r="P16" i="2" s="1"/>
  <c r="F3" i="1"/>
  <c r="D8" i="1"/>
  <c r="BM35" i="2" s="1"/>
  <c r="D5" i="1"/>
  <c r="BA12" i="2" l="1"/>
  <c r="BA14" i="2"/>
  <c r="AJ20" i="2"/>
  <c r="AJ37" i="2" s="1"/>
  <c r="AK36" i="2"/>
  <c r="AL36" i="2"/>
  <c r="BC5" i="2"/>
  <c r="BB26" i="2"/>
  <c r="BC24" i="2"/>
  <c r="BC27" i="2"/>
  <c r="BB29" i="2"/>
  <c r="BC8" i="2"/>
  <c r="BC4" i="2"/>
  <c r="BB25" i="2"/>
  <c r="BC7" i="2"/>
  <c r="BB28" i="2"/>
  <c r="BB10" i="2"/>
  <c r="AA20" i="2"/>
  <c r="AA36" i="2"/>
  <c r="AR16" i="2"/>
  <c r="AR18" i="2" s="1"/>
  <c r="AE20" i="2"/>
  <c r="AE36" i="2"/>
  <c r="AH20" i="2"/>
  <c r="AH37" i="2" s="1"/>
  <c r="BI15" i="2"/>
  <c r="BH35" i="2"/>
  <c r="O22" i="2"/>
  <c r="O37" i="2"/>
  <c r="L22" i="2"/>
  <c r="L37" i="2"/>
  <c r="H22" i="2"/>
  <c r="H37" i="2"/>
  <c r="AV11" i="2"/>
  <c r="AV12" i="2" s="1"/>
  <c r="S18" i="2"/>
  <c r="S32" i="2"/>
  <c r="V32" i="2"/>
  <c r="T32" i="2"/>
  <c r="U36" i="2"/>
  <c r="AT35" i="2"/>
  <c r="AU35" i="2"/>
  <c r="AV33" i="2"/>
  <c r="M32" i="2"/>
  <c r="R36" i="2"/>
  <c r="O32" i="2"/>
  <c r="H32" i="2"/>
  <c r="P31" i="2"/>
  <c r="G32" i="2"/>
  <c r="H31" i="2"/>
  <c r="P32" i="2"/>
  <c r="P18" i="2"/>
  <c r="P36" i="2" s="1"/>
  <c r="AT16" i="2"/>
  <c r="AT31" i="2"/>
  <c r="L36" i="2"/>
  <c r="L32" i="2"/>
  <c r="O36" i="2"/>
  <c r="F16" i="2"/>
  <c r="F31" i="2"/>
  <c r="AR19" i="2"/>
  <c r="E16" i="2"/>
  <c r="E31" i="2"/>
  <c r="D16" i="2"/>
  <c r="D31" i="2"/>
  <c r="C16" i="2"/>
  <c r="C31" i="2"/>
  <c r="AS16" i="2"/>
  <c r="AS31" i="2"/>
  <c r="AU34" i="2"/>
  <c r="AU11" i="2"/>
  <c r="AU12" i="2" s="1"/>
  <c r="AU16" i="2" s="1"/>
  <c r="Q16" i="2"/>
  <c r="D9" i="1"/>
  <c r="R32" i="2"/>
  <c r="AU30" i="2"/>
  <c r="Q31" i="2"/>
  <c r="G20" i="2"/>
  <c r="G36" i="2"/>
  <c r="G31" i="2"/>
  <c r="H36" i="2"/>
  <c r="I16" i="2"/>
  <c r="M20" i="2"/>
  <c r="M36" i="2"/>
  <c r="M31" i="2"/>
  <c r="J16" i="2"/>
  <c r="N16" i="2"/>
  <c r="K16" i="2"/>
  <c r="O31" i="2"/>
  <c r="L31" i="2"/>
  <c r="BB12" i="2" l="1"/>
  <c r="BB14" i="2"/>
  <c r="AL20" i="2"/>
  <c r="AL22" i="2" s="1"/>
  <c r="AJ22" i="2"/>
  <c r="AK20" i="2"/>
  <c r="AK22" i="2" s="1"/>
  <c r="BC10" i="2"/>
  <c r="BC14" i="2" s="1"/>
  <c r="AI36" i="2"/>
  <c r="AZ19" i="2"/>
  <c r="AI20" i="2"/>
  <c r="BD5" i="2"/>
  <c r="BC26" i="2"/>
  <c r="BD4" i="2"/>
  <c r="BC25" i="2"/>
  <c r="BD8" i="2"/>
  <c r="BC29" i="2"/>
  <c r="BD27" i="2"/>
  <c r="BD24" i="2"/>
  <c r="BE3" i="2"/>
  <c r="BF3" i="2" s="1"/>
  <c r="BG3" i="2" s="1"/>
  <c r="BD7" i="2"/>
  <c r="BC28" i="2"/>
  <c r="AH22" i="2"/>
  <c r="AR32" i="2"/>
  <c r="AE22" i="2"/>
  <c r="AE37" i="2"/>
  <c r="AA22" i="2"/>
  <c r="AA37" i="2"/>
  <c r="BJ15" i="2"/>
  <c r="BJ35" i="2" s="1"/>
  <c r="BI35" i="2"/>
  <c r="AY19" i="2"/>
  <c r="AF36" i="2"/>
  <c r="AF20" i="2"/>
  <c r="G22" i="2"/>
  <c r="G37" i="2"/>
  <c r="M22" i="2"/>
  <c r="M37" i="2"/>
  <c r="T36" i="2"/>
  <c r="V36" i="2"/>
  <c r="AW35" i="2"/>
  <c r="AW33" i="2"/>
  <c r="R20" i="2"/>
  <c r="C18" i="2"/>
  <c r="C32" i="2"/>
  <c r="D18" i="2"/>
  <c r="D32" i="2"/>
  <c r="F18" i="2"/>
  <c r="F32" i="2"/>
  <c r="AV30" i="2"/>
  <c r="P20" i="2"/>
  <c r="K18" i="2"/>
  <c r="K32" i="2"/>
  <c r="E18" i="2"/>
  <c r="E32" i="2"/>
  <c r="N18" i="2"/>
  <c r="N20" i="2" s="1"/>
  <c r="N32" i="2"/>
  <c r="AS18" i="2"/>
  <c r="AS32" i="2"/>
  <c r="I18" i="2"/>
  <c r="I20" i="2" s="1"/>
  <c r="I32" i="2"/>
  <c r="J18" i="2"/>
  <c r="J20" i="2" s="1"/>
  <c r="J32" i="2"/>
  <c r="AR20" i="2"/>
  <c r="AR36" i="2"/>
  <c r="AT18" i="2"/>
  <c r="AT32" i="2"/>
  <c r="Q18" i="2"/>
  <c r="Q32" i="2"/>
  <c r="AU31" i="2"/>
  <c r="AV34" i="2"/>
  <c r="AU18" i="2"/>
  <c r="AU32" i="2"/>
  <c r="AK37" i="2" l="1"/>
  <c r="BC12" i="2"/>
  <c r="AL37" i="2"/>
  <c r="AI22" i="2"/>
  <c r="AI37" i="2"/>
  <c r="BD10" i="2"/>
  <c r="BD14" i="2" s="1"/>
  <c r="BE5" i="2"/>
  <c r="BD26" i="2"/>
  <c r="BE24" i="2"/>
  <c r="BE7" i="2"/>
  <c r="BD28" i="2"/>
  <c r="BE4" i="2"/>
  <c r="BD25" i="2"/>
  <c r="BE8" i="2"/>
  <c r="BD29" i="2"/>
  <c r="BE27" i="2"/>
  <c r="AF22" i="2"/>
  <c r="AF37" i="2"/>
  <c r="N22" i="2"/>
  <c r="N37" i="2"/>
  <c r="I22" i="2"/>
  <c r="I37" i="2"/>
  <c r="AR22" i="2"/>
  <c r="AR37" i="2"/>
  <c r="U37" i="2"/>
  <c r="P22" i="2"/>
  <c r="P37" i="2"/>
  <c r="J22" i="2"/>
  <c r="J37" i="2"/>
  <c r="R22" i="2"/>
  <c r="R37" i="2"/>
  <c r="S36" i="2"/>
  <c r="AV19" i="2"/>
  <c r="S20" i="2"/>
  <c r="AX35" i="2"/>
  <c r="AX33" i="2"/>
  <c r="N36" i="2"/>
  <c r="J36" i="2"/>
  <c r="I36" i="2"/>
  <c r="AT20" i="2"/>
  <c r="AT36" i="2"/>
  <c r="E20" i="2"/>
  <c r="E36" i="2"/>
  <c r="F20" i="2"/>
  <c r="F36" i="2"/>
  <c r="K20" i="2"/>
  <c r="K36" i="2"/>
  <c r="D20" i="2"/>
  <c r="D36" i="2"/>
  <c r="AS20" i="2"/>
  <c r="AS36" i="2"/>
  <c r="C20" i="2"/>
  <c r="C36" i="2"/>
  <c r="AW30" i="2"/>
  <c r="AW34" i="2"/>
  <c r="AV31" i="2"/>
  <c r="AV16" i="2"/>
  <c r="Q20" i="2"/>
  <c r="BD12" i="2" l="1"/>
  <c r="BF5" i="2"/>
  <c r="BE26" i="2"/>
  <c r="BF4" i="2"/>
  <c r="BE25" i="2"/>
  <c r="BF8" i="2"/>
  <c r="BE29" i="2"/>
  <c r="BF7" i="2"/>
  <c r="BE28" i="2"/>
  <c r="BE10" i="2"/>
  <c r="BE14" i="2" s="1"/>
  <c r="BF27" i="2"/>
  <c r="BF24" i="2"/>
  <c r="V37" i="2"/>
  <c r="C22" i="2"/>
  <c r="C37" i="2"/>
  <c r="F22" i="2"/>
  <c r="F37" i="2"/>
  <c r="K22" i="2"/>
  <c r="K37" i="2"/>
  <c r="E22" i="2"/>
  <c r="E37" i="2"/>
  <c r="S22" i="2"/>
  <c r="S37" i="2"/>
  <c r="Q22" i="2"/>
  <c r="Q37" i="2"/>
  <c r="D22" i="2"/>
  <c r="D37" i="2"/>
  <c r="T37" i="2"/>
  <c r="AS22" i="2"/>
  <c r="AS37" i="2"/>
  <c r="AT22" i="2"/>
  <c r="AT37" i="2"/>
  <c r="AY35" i="2"/>
  <c r="BC13" i="2"/>
  <c r="BD13" i="2" s="1"/>
  <c r="AY33" i="2"/>
  <c r="AV18" i="2"/>
  <c r="AV32" i="2"/>
  <c r="AX30" i="2"/>
  <c r="AX34" i="2"/>
  <c r="AU19" i="2"/>
  <c r="Q36" i="2"/>
  <c r="AW31" i="2"/>
  <c r="AW16" i="2"/>
  <c r="BE12" i="2" l="1"/>
  <c r="BG5" i="2"/>
  <c r="BF26" i="2"/>
  <c r="BG4" i="2"/>
  <c r="BF25" i="2"/>
  <c r="BG27" i="2"/>
  <c r="BG7" i="2"/>
  <c r="BF28" i="2"/>
  <c r="BG24" i="2"/>
  <c r="BH3" i="2"/>
  <c r="BF10" i="2"/>
  <c r="BF14" i="2" s="1"/>
  <c r="BG8" i="2"/>
  <c r="BF29" i="2"/>
  <c r="AZ35" i="2"/>
  <c r="AZ33" i="2"/>
  <c r="AV36" i="2"/>
  <c r="AU20" i="2"/>
  <c r="AU37" i="2" s="1"/>
  <c r="AU36" i="2"/>
  <c r="AY34" i="2"/>
  <c r="AY30" i="2"/>
  <c r="AW18" i="2"/>
  <c r="AW32" i="2"/>
  <c r="BF12" i="2" l="1"/>
  <c r="BG10" i="2"/>
  <c r="BG14" i="2" s="1"/>
  <c r="BH5" i="2"/>
  <c r="BG26" i="2"/>
  <c r="BH7" i="2"/>
  <c r="BG28" i="2"/>
  <c r="BH4" i="2"/>
  <c r="BG25" i="2"/>
  <c r="BI3" i="2"/>
  <c r="BH24" i="2"/>
  <c r="BH8" i="2"/>
  <c r="BG29" i="2"/>
  <c r="BH27" i="2"/>
  <c r="BA35" i="2"/>
  <c r="BA33" i="2"/>
  <c r="AV20" i="2"/>
  <c r="AV37" i="2" s="1"/>
  <c r="AZ30" i="2"/>
  <c r="AZ34" i="2"/>
  <c r="AU22" i="2"/>
  <c r="AW36" i="2"/>
  <c r="AY31" i="2"/>
  <c r="AY16" i="2"/>
  <c r="BG12" i="2" l="1"/>
  <c r="BH10" i="2"/>
  <c r="BH14" i="2" s="1"/>
  <c r="BI5" i="2"/>
  <c r="BH26" i="2"/>
  <c r="BJ27" i="2"/>
  <c r="BI27" i="2"/>
  <c r="BI8" i="2"/>
  <c r="BH29" i="2"/>
  <c r="BJ3" i="2"/>
  <c r="BI24" i="2"/>
  <c r="BI7" i="2"/>
  <c r="BH28" i="2"/>
  <c r="BI4" i="2"/>
  <c r="BH25" i="2"/>
  <c r="AV22" i="2"/>
  <c r="BB35" i="2"/>
  <c r="BB33" i="2"/>
  <c r="AW20" i="2"/>
  <c r="AY18" i="2"/>
  <c r="AY32" i="2"/>
  <c r="AZ31" i="2"/>
  <c r="AZ16" i="2"/>
  <c r="BA34" i="2"/>
  <c r="BA30" i="2"/>
  <c r="BH12" i="2" l="1"/>
  <c r="BJ5" i="2"/>
  <c r="BJ26" i="2" s="1"/>
  <c r="BI26" i="2"/>
  <c r="BJ24" i="2"/>
  <c r="BJ7" i="2"/>
  <c r="BJ28" i="2" s="1"/>
  <c r="BI28" i="2"/>
  <c r="BI10" i="2"/>
  <c r="BI14" i="2" s="1"/>
  <c r="BJ8" i="2"/>
  <c r="BJ29" i="2" s="1"/>
  <c r="BI29" i="2"/>
  <c r="BJ4" i="2"/>
  <c r="BJ25" i="2" s="1"/>
  <c r="BI25" i="2"/>
  <c r="AW22" i="2"/>
  <c r="AW37" i="2"/>
  <c r="BC35" i="2"/>
  <c r="BC33" i="2"/>
  <c r="BA31" i="2"/>
  <c r="BA16" i="2"/>
  <c r="AY36" i="2"/>
  <c r="AY20" i="2"/>
  <c r="AZ32" i="2"/>
  <c r="AZ18" i="2"/>
  <c r="BA11" i="2"/>
  <c r="BB30" i="2"/>
  <c r="BB34" i="2"/>
  <c r="BI12" i="2" l="1"/>
  <c r="BJ10" i="2"/>
  <c r="BJ14" i="2" s="1"/>
  <c r="AY37" i="2"/>
  <c r="BD35" i="2"/>
  <c r="BE13" i="2"/>
  <c r="BD33" i="2"/>
  <c r="BC11" i="2"/>
  <c r="BB16" i="2"/>
  <c r="BB31" i="2"/>
  <c r="AY22" i="2"/>
  <c r="BC30" i="2"/>
  <c r="BC34" i="2"/>
  <c r="AZ36" i="2"/>
  <c r="BB11" i="2"/>
  <c r="BA32" i="2"/>
  <c r="BA18" i="2"/>
  <c r="BA19" i="2" s="1"/>
  <c r="BJ12" i="2" l="1"/>
  <c r="BE33" i="2"/>
  <c r="BF13" i="2"/>
  <c r="BE35" i="2"/>
  <c r="BD11" i="2"/>
  <c r="BB18" i="2"/>
  <c r="BB19" i="2" s="1"/>
  <c r="BB32" i="2"/>
  <c r="BD34" i="2"/>
  <c r="BD30" i="2"/>
  <c r="BA36" i="2"/>
  <c r="BC16" i="2"/>
  <c r="BC31" i="2"/>
  <c r="AZ20" i="2"/>
  <c r="BF33" i="2" l="1"/>
  <c r="BG13" i="2"/>
  <c r="BE11" i="2"/>
  <c r="BE34" i="2"/>
  <c r="AZ37" i="2"/>
  <c r="BF35" i="2"/>
  <c r="AZ22" i="2"/>
  <c r="BE30" i="2"/>
  <c r="BD31" i="2"/>
  <c r="BD16" i="2"/>
  <c r="BC32" i="2"/>
  <c r="BC18" i="2"/>
  <c r="BC19" i="2" s="1"/>
  <c r="BA20" i="2"/>
  <c r="BB36" i="2"/>
  <c r="BH13" i="2" l="1"/>
  <c r="BG33" i="2"/>
  <c r="BF34" i="2"/>
  <c r="BF11" i="2"/>
  <c r="BF30" i="2"/>
  <c r="BA22" i="2"/>
  <c r="BA37" i="2"/>
  <c r="BB20" i="2"/>
  <c r="BD32" i="2"/>
  <c r="BD18" i="2"/>
  <c r="BD19" i="2" s="1"/>
  <c r="BE31" i="2"/>
  <c r="BE16" i="2"/>
  <c r="BC36" i="2"/>
  <c r="BI13" i="2" l="1"/>
  <c r="BH33" i="2"/>
  <c r="BG30" i="2"/>
  <c r="BG34" i="2"/>
  <c r="BF31" i="2"/>
  <c r="BF16" i="2"/>
  <c r="BB22" i="2"/>
  <c r="BB37" i="2"/>
  <c r="BC20" i="2"/>
  <c r="BC37" i="2" s="1"/>
  <c r="BD36" i="2"/>
  <c r="BE18" i="2"/>
  <c r="BE19" i="2" s="1"/>
  <c r="BE32" i="2"/>
  <c r="BJ13" i="2" l="1"/>
  <c r="BJ33" i="2" s="1"/>
  <c r="BI33" i="2"/>
  <c r="BG16" i="2"/>
  <c r="BG31" i="2"/>
  <c r="BG11" i="2"/>
  <c r="BH30" i="2"/>
  <c r="BH34" i="2"/>
  <c r="BH11" i="2"/>
  <c r="BF18" i="2"/>
  <c r="BF32" i="2"/>
  <c r="BC22" i="2"/>
  <c r="BE36" i="2"/>
  <c r="BD20" i="2"/>
  <c r="BI30" i="2" l="1"/>
  <c r="BI11" i="2"/>
  <c r="BI34" i="2"/>
  <c r="BH31" i="2"/>
  <c r="BH16" i="2"/>
  <c r="BG18" i="2"/>
  <c r="BG32" i="2"/>
  <c r="BF19" i="2"/>
  <c r="BF36" i="2" s="1"/>
  <c r="BD22" i="2"/>
  <c r="BD37" i="2"/>
  <c r="BE20" i="2"/>
  <c r="BH18" i="2" l="1"/>
  <c r="BH32" i="2"/>
  <c r="BG19" i="2"/>
  <c r="BG36" i="2" s="1"/>
  <c r="BI16" i="2"/>
  <c r="BI31" i="2"/>
  <c r="BJ30" i="2"/>
  <c r="BJ34" i="2"/>
  <c r="BJ11" i="2"/>
  <c r="BF20" i="2"/>
  <c r="BF37" i="2" s="1"/>
  <c r="BE22" i="2"/>
  <c r="BE37" i="2"/>
  <c r="BG20" i="2" l="1"/>
  <c r="BI32" i="2"/>
  <c r="BI18" i="2"/>
  <c r="BJ31" i="2"/>
  <c r="BJ16" i="2"/>
  <c r="BH19" i="2"/>
  <c r="BH36" i="2" s="1"/>
  <c r="BF22" i="2"/>
  <c r="BH20" i="2" l="1"/>
  <c r="BH37" i="2" s="1"/>
  <c r="BI19" i="2"/>
  <c r="BI36" i="2" s="1"/>
  <c r="BJ32" i="2"/>
  <c r="BJ18" i="2"/>
  <c r="BG37" i="2"/>
  <c r="BG22" i="2"/>
  <c r="AX12" i="2"/>
  <c r="AX31" i="2" s="1"/>
  <c r="BH22" i="2" l="1"/>
  <c r="BI20" i="2"/>
  <c r="BI37" i="2" s="1"/>
  <c r="BJ19" i="2"/>
  <c r="BJ36" i="2" s="1"/>
  <c r="AX16" i="2"/>
  <c r="BI22" i="2" l="1"/>
  <c r="BJ20" i="2"/>
  <c r="BJ37" i="2" s="1"/>
  <c r="AX18" i="2"/>
  <c r="AX32" i="2"/>
  <c r="BJ22" i="2" l="1"/>
  <c r="AX36" i="2"/>
  <c r="AX20" i="2" l="1"/>
  <c r="AX22" i="2" l="1"/>
  <c r="AX37" i="2"/>
  <c r="BK20" i="2" l="1"/>
  <c r="BL20" i="2" s="1"/>
  <c r="BM20" i="2" s="1"/>
  <c r="BN20" i="2" s="1"/>
  <c r="BO20" i="2" s="1"/>
  <c r="BP20" i="2" s="1"/>
  <c r="BQ20" i="2" s="1"/>
  <c r="BR20" i="2" s="1"/>
  <c r="BS20" i="2" s="1"/>
  <c r="BT20" i="2" s="1"/>
  <c r="BU20" i="2" s="1"/>
  <c r="BV20" i="2" s="1"/>
  <c r="BW20" i="2" s="1"/>
  <c r="BX20" i="2" s="1"/>
  <c r="BY20" i="2" s="1"/>
  <c r="BZ20" i="2" s="1"/>
  <c r="CA20" i="2" s="1"/>
  <c r="CB20" i="2" s="1"/>
  <c r="CC20" i="2" s="1"/>
  <c r="CD20" i="2" s="1"/>
  <c r="CE20" i="2" s="1"/>
  <c r="CF20" i="2" s="1"/>
  <c r="CG20" i="2" s="1"/>
  <c r="CH20" i="2" s="1"/>
  <c r="CI20" i="2" s="1"/>
  <c r="CJ20" i="2" s="1"/>
  <c r="CK20" i="2" s="1"/>
  <c r="CL20" i="2" s="1"/>
  <c r="CM20" i="2" s="1"/>
  <c r="CN20" i="2" s="1"/>
  <c r="CO20" i="2" s="1"/>
  <c r="CP20" i="2" s="1"/>
  <c r="CQ20" i="2" s="1"/>
  <c r="CR20" i="2" s="1"/>
  <c r="CS20" i="2" s="1"/>
  <c r="CT20" i="2" s="1"/>
  <c r="CU20" i="2" s="1"/>
  <c r="CV20" i="2" s="1"/>
  <c r="CW20" i="2" s="1"/>
  <c r="CX20" i="2" s="1"/>
  <c r="CY20" i="2" s="1"/>
  <c r="CZ20" i="2" s="1"/>
  <c r="DA20" i="2" s="1"/>
  <c r="DB20" i="2" s="1"/>
  <c r="DC20" i="2" s="1"/>
  <c r="DD20" i="2" s="1"/>
  <c r="DE20" i="2" s="1"/>
  <c r="DF20" i="2" s="1"/>
  <c r="DG20" i="2" s="1"/>
  <c r="DH20" i="2" s="1"/>
  <c r="DI20" i="2" s="1"/>
  <c r="DJ20" i="2" s="1"/>
  <c r="DK20" i="2" s="1"/>
  <c r="DL20" i="2" s="1"/>
  <c r="DM20" i="2" s="1"/>
  <c r="DN20" i="2" s="1"/>
  <c r="DO20" i="2" s="1"/>
  <c r="DP20" i="2" s="1"/>
  <c r="DQ20" i="2" s="1"/>
  <c r="DR20" i="2" s="1"/>
  <c r="DS20" i="2" s="1"/>
  <c r="DT20" i="2" s="1"/>
  <c r="DU20" i="2" s="1"/>
  <c r="DV20" i="2" s="1"/>
  <c r="DW20" i="2" s="1"/>
  <c r="DX20" i="2" s="1"/>
  <c r="DY20" i="2" s="1"/>
  <c r="DZ20" i="2" s="1"/>
  <c r="EA20" i="2" s="1"/>
  <c r="EB20" i="2" s="1"/>
  <c r="EC20" i="2" s="1"/>
  <c r="ED20" i="2" s="1"/>
  <c r="EE20" i="2" s="1"/>
  <c r="EF20" i="2" s="1"/>
  <c r="EG20" i="2" s="1"/>
  <c r="EH20" i="2" s="1"/>
  <c r="EI20" i="2" s="1"/>
  <c r="EJ20" i="2" s="1"/>
  <c r="EK20" i="2" s="1"/>
  <c r="EL20" i="2" s="1"/>
  <c r="EM20" i="2" s="1"/>
  <c r="EN20" i="2" s="1"/>
  <c r="EO20" i="2" s="1"/>
  <c r="EP20" i="2" s="1"/>
  <c r="EQ20" i="2" s="1"/>
  <c r="ER20" i="2" s="1"/>
  <c r="ES20" i="2" s="1"/>
  <c r="ET20" i="2" s="1"/>
  <c r="EU20" i="2" s="1"/>
  <c r="EV20" i="2" s="1"/>
  <c r="EW20" i="2" s="1"/>
  <c r="EX20" i="2" s="1"/>
  <c r="EY20" i="2" s="1"/>
  <c r="EZ20" i="2" s="1"/>
  <c r="FA20" i="2" s="1"/>
  <c r="FB20" i="2" s="1"/>
  <c r="FC20" i="2" s="1"/>
  <c r="FD20" i="2" s="1"/>
  <c r="FE20" i="2" s="1"/>
  <c r="FF20" i="2" s="1"/>
  <c r="FG20" i="2" s="1"/>
  <c r="FH20" i="2" s="1"/>
  <c r="FI20" i="2" s="1"/>
  <c r="FJ20" i="2" s="1"/>
  <c r="FK20" i="2" s="1"/>
  <c r="FL20" i="2" s="1"/>
  <c r="FM20" i="2" s="1"/>
  <c r="FN20" i="2" s="1"/>
  <c r="FO20" i="2" s="1"/>
  <c r="FP20" i="2" s="1"/>
  <c r="FQ20" i="2" s="1"/>
  <c r="FR20" i="2" s="1"/>
  <c r="FS20" i="2" s="1"/>
  <c r="FT20" i="2" s="1"/>
  <c r="FU20" i="2" s="1"/>
  <c r="FV20" i="2" s="1"/>
  <c r="FW20" i="2" s="1"/>
  <c r="FX20" i="2" s="1"/>
  <c r="FY20" i="2" s="1"/>
  <c r="FZ20" i="2" s="1"/>
  <c r="GA20" i="2" s="1"/>
  <c r="GB20" i="2" s="1"/>
  <c r="GC20" i="2" s="1"/>
  <c r="GD20" i="2" s="1"/>
  <c r="GE20" i="2" s="1"/>
  <c r="GF20" i="2" s="1"/>
  <c r="GG20" i="2" s="1"/>
  <c r="GH20" i="2" s="1"/>
  <c r="GI20" i="2" s="1"/>
  <c r="GJ20" i="2" s="1"/>
  <c r="GK20" i="2" s="1"/>
  <c r="GL20" i="2" s="1"/>
  <c r="GM20" i="2" s="1"/>
  <c r="GN20" i="2" s="1"/>
  <c r="GO20" i="2" s="1"/>
  <c r="BM36" i="2" l="1"/>
  <c r="BM37" i="2" s="1"/>
  <c r="BM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</author>
  </authors>
  <commentList>
    <comment ref="K15" authorId="0" shapeId="0" xr:uid="{79911BCF-346D-4DD7-8D66-A5E3C2A398D5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European Commission fine</t>
        </r>
      </text>
    </comment>
    <comment ref="F19" authorId="0" shapeId="0" xr:uid="{C877AD73-E610-4584-880A-FD5EBA4781BE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tax legislation</t>
        </r>
      </text>
    </comment>
    <comment ref="AR19" authorId="0" shapeId="0" xr:uid="{BEB3E783-DDE4-4379-8D6C-2D62B9B58AC5}">
      <text>
        <r>
          <rPr>
            <b/>
            <sz val="9"/>
            <color indexed="81"/>
            <rFont val="Tahoma"/>
            <family val="2"/>
          </rPr>
          <t>Anton:</t>
        </r>
        <r>
          <rPr>
            <sz val="9"/>
            <color indexed="81"/>
            <rFont val="Tahoma"/>
            <family val="2"/>
          </rPr>
          <t xml:space="preserve">
adjusted for tax legislation</t>
        </r>
      </text>
    </comment>
  </commentList>
</comments>
</file>

<file path=xl/sharedStrings.xml><?xml version="1.0" encoding="utf-8"?>
<sst xmlns="http://schemas.openxmlformats.org/spreadsheetml/2006/main" count="100" uniqueCount="97">
  <si>
    <t>GOOG</t>
  </si>
  <si>
    <t>Price</t>
  </si>
  <si>
    <t>Shares</t>
  </si>
  <si>
    <t>MC</t>
  </si>
  <si>
    <t>Net Cash</t>
  </si>
  <si>
    <t>Cash</t>
  </si>
  <si>
    <t>Debt</t>
  </si>
  <si>
    <t>EV</t>
  </si>
  <si>
    <t>Today</t>
  </si>
  <si>
    <t>Time last checked</t>
  </si>
  <si>
    <t>Q220</t>
  </si>
  <si>
    <t>Revenue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</si>
  <si>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</si>
  <si>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</si>
  <si>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</si>
  <si>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</si>
  <si>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</si>
  <si>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</si>
  <si>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</si>
  <si>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</si>
  <si>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</si>
  <si>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Q320</t>
  </si>
  <si>
    <t>Q420</t>
  </si>
  <si>
    <t>Cost of sales</t>
  </si>
  <si>
    <t>Gross profit</t>
  </si>
  <si>
    <t>R&amp;D</t>
  </si>
  <si>
    <t>S&amp;M</t>
  </si>
  <si>
    <t>G&amp;A</t>
  </si>
  <si>
    <t>Operating profit</t>
  </si>
  <si>
    <t>Pretax profit</t>
  </si>
  <si>
    <t>Taxes</t>
  </si>
  <si>
    <t>Net profit</t>
  </si>
  <si>
    <t>EPS</t>
  </si>
  <si>
    <t>Other income</t>
  </si>
  <si>
    <t>Gross Margin</t>
  </si>
  <si>
    <t>Operating Margin</t>
  </si>
  <si>
    <t>S&amp;M Margin</t>
  </si>
  <si>
    <t>Tax rate</t>
  </si>
  <si>
    <t>Revenue y/y</t>
  </si>
  <si>
    <t>Q117</t>
  </si>
  <si>
    <t>Q217</t>
  </si>
  <si>
    <t>Q317</t>
  </si>
  <si>
    <t>Q417</t>
  </si>
  <si>
    <t>Non-GAAP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</si>
  <si>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</si>
  <si>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</si>
  <si>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</si>
  <si>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</si>
  <si>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</si>
  <si>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</si>
  <si>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</si>
  <si>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</si>
  <si>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</si>
  <si>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Earnings</t>
  </si>
  <si>
    <t>Q121</t>
  </si>
  <si>
    <t>Q221</t>
  </si>
  <si>
    <t>Q321</t>
  </si>
  <si>
    <t>Q421</t>
  </si>
  <si>
    <t>R&amp;D y/y</t>
  </si>
  <si>
    <t>G&amp;A y/y</t>
  </si>
  <si>
    <t>Net Margin</t>
  </si>
  <si>
    <t>Q124</t>
  </si>
  <si>
    <t>Q122</t>
  </si>
  <si>
    <t>Q222</t>
  </si>
  <si>
    <t>Q322</t>
  </si>
  <si>
    <t>Q422</t>
  </si>
  <si>
    <t>Q123</t>
  </si>
  <si>
    <t>Q223</t>
  </si>
  <si>
    <t>Q323</t>
  </si>
  <si>
    <t>Q423</t>
  </si>
  <si>
    <t>Q224</t>
  </si>
  <si>
    <t>Q324</t>
  </si>
  <si>
    <t>Q424</t>
  </si>
  <si>
    <t>YouTube</t>
  </si>
  <si>
    <t>Google</t>
  </si>
  <si>
    <t>Advertising</t>
  </si>
  <si>
    <t>Subscriptions</t>
  </si>
  <si>
    <t>Cloud</t>
  </si>
  <si>
    <t>Other</t>
  </si>
  <si>
    <t>Hedging</t>
  </si>
  <si>
    <t>Google y/y</t>
  </si>
  <si>
    <t>YouTube y/y</t>
  </si>
  <si>
    <t>Advertising y/y</t>
  </si>
  <si>
    <t>Subscriptions y/y</t>
  </si>
  <si>
    <t>Cloud y/y</t>
  </si>
  <si>
    <t>Other y/y</t>
  </si>
  <si>
    <t>Q125</t>
  </si>
  <si>
    <t>Q225</t>
  </si>
  <si>
    <t>Q325</t>
  </si>
  <si>
    <t>Q425</t>
  </si>
  <si>
    <t>Employees</t>
  </si>
  <si>
    <t>Slightly overvalued</t>
  </si>
  <si>
    <t>Q425 8K</t>
  </si>
  <si>
    <t>Q126</t>
  </si>
  <si>
    <t>Q226</t>
  </si>
  <si>
    <t>Q326</t>
  </si>
  <si>
    <t>Q426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</si>
</sst>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/>
    <xf numFmtId="4" fontId="1" fillId="0" borderId="0" xfId="0" applyNumberFormat="1" applyFont="1"/>
    <xf numFmtId="9" fontId="0" fillId="0" borderId="0" xfId="0" applyNumberFormat="1"/>
    <xf numFmtId="3" fontId="1" fillId="0" borderId="0" xfId="0" applyNumberFormat="1" applyFont="1"/>
    <xf numFmtId="9" fontId="1" fillId="0" borderId="0" xfId="0" applyNumberFormat="1" applyFont="1"/>
    <xf numFmtId="3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30480</xdr:colOff>
      <xdr:row>0</xdr:row>
      <xdr:rowOff>0</xdr:rowOff>
    </xdr:from>
    <xdr:to>
      <xdr:col>39</xdr:col>
      <xdr:colOff>30480</xdr:colOff>
      <xdr:row>48</xdr:row>
      <xdr:rowOff>83820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9BB6ED3-8FFF-4100-9FF7-BB6C2B4A25FA}"/>
            </a:ext>
          </a:extLst>
        </xdr:cNvPr>
        <xdr:cNvCxnSpPr/>
      </xdr:nvCxnSpPr>
      <xdr:spPr>
        <a:xfrm>
          <a:off x="24239220" y="0"/>
          <a:ext cx="0" cy="88620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52</xdr:col>
      <xdr:colOff>30480</xdr:colOff>
      <xdr:row>0</xdr:row>
      <xdr:rowOff>0</xdr:rowOff>
    </xdr:from>
    <xdr:to>
      <xdr:col>52</xdr:col>
      <xdr:colOff>30480</xdr:colOff>
      <xdr:row>46</xdr:row>
      <xdr:rowOff>99060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2FB776C-F874-43FA-BE65-E3531E3F6066}"/>
            </a:ext>
          </a:extLst>
        </xdr:cNvPr>
        <xdr:cNvCxnSpPr/>
      </xdr:nvCxnSpPr>
      <xdr:spPr>
        <a:xfrm>
          <a:off x="32209740" y="0"/>
          <a:ext cx="0" cy="85115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62500-59DE-4523-9441-73ADDC7E60F9}">
  <dimension ref="B2:G9"/>
  <sheetViews>
    <sheetView workbookViewId="0">
      <selection activeCell="E7" sqref="E7"/>
    </sheetView>
  </sheetViews>
  <sheetFormatPr defaultRowHeight="14.4" x14ac:dyDescent="0.3"/>
  <cols>
    <col min="5" max="7" width="15.77734375" style="3" customWidth="1"/>
  </cols>
  <sheetData>
    <row r="2" spans="2:7" x14ac:dyDescent="0.3">
      <c r="E2" s="3" t="s">
        <v>9</v>
      </c>
      <c r="F2" s="3" t="s">
        <v>8</v>
      </c>
      <c r="G2" s="3" t="s">
        <v>53</v>
      </c>
    </row>
    <row r="3" spans="2:7" x14ac:dyDescent="0.3">
      <c r="B3" s="6" t="s">
        <v>0</v>
      </c>
      <c r="C3" t="s">
        <v>1</v>
      </c>
      <c r="D3" s="2">
        <v>329.3</v>
      </c>
      <c r="E3" s="4">
        <v>46059</v>
      </c>
      <c r="F3" s="4">
        <f ca="1">TODAY()</f>
        <v>46059</v>
      </c>
      <c r="G3" s="4">
        <v>46140</v>
      </c>
    </row>
    <row r="4" spans="2:7" x14ac:dyDescent="0.3">
      <c r="C4" t="s">
        <v>2</v>
      </c>
      <c r="D4" s="1">
        <f>5822+837+5438</f>
        <v>12097</v>
      </c>
      <c r="E4" s="3" t="s">
        <v>92</v>
      </c>
    </row>
    <row r="5" spans="2:7" x14ac:dyDescent="0.3">
      <c r="C5" t="s">
        <v>3</v>
      </c>
      <c r="D5" s="1">
        <f>D3*D4</f>
        <v>3983542.1</v>
      </c>
    </row>
    <row r="6" spans="2:7" x14ac:dyDescent="0.3">
      <c r="C6" t="s">
        <v>5</v>
      </c>
      <c r="D6" s="1">
        <f>30708+96135+68687</f>
        <v>195530</v>
      </c>
      <c r="E6" s="3" t="s">
        <v>89</v>
      </c>
    </row>
    <row r="7" spans="2:7" x14ac:dyDescent="0.3">
      <c r="C7" t="s">
        <v>6</v>
      </c>
      <c r="D7" s="1">
        <f>46547</f>
        <v>46547</v>
      </c>
      <c r="E7" s="3" t="s">
        <v>89</v>
      </c>
    </row>
    <row r="8" spans="2:7" x14ac:dyDescent="0.3">
      <c r="C8" t="s">
        <v>4</v>
      </c>
      <c r="D8" s="1">
        <f>D6-D7</f>
        <v>148983</v>
      </c>
    </row>
    <row r="9" spans="2:7" x14ac:dyDescent="0.3">
      <c r="C9" t="s">
        <v>7</v>
      </c>
      <c r="D9" s="1">
        <f>D5-D8</f>
        <v>3834559.1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8BF10-D372-4210-91C6-9A1DF33E84B0}">
  <dimension ref="B1:GO40"/>
  <sheetViews>
    <sheetView tabSelected="1" workbookViewId="0">
      <pane xSplit="2" ySplit="2" topLeftCell="AU20" activePane="bottomRight" state="frozen"/>
      <selection pane="topRight" activeCell="C1" sqref="C1"/>
      <selection pane="bottomLeft" activeCell="A3" sqref="A3"/>
      <selection pane="bottomRight" activeCell="BM40" sqref="BM40"/>
    </sheetView>
  </sheetViews>
  <sheetFormatPr defaultRowHeight="14.4" x14ac:dyDescent="0.3"/>
  <cols>
    <col min="2" max="2" width="15.21875" bestFit="1" customWidth="1"/>
    <col min="3" max="6" width="8.88671875" customWidth="1"/>
    <col min="44" max="44" width="9.5546875" bestFit="1" customWidth="1"/>
    <col min="59" max="61" width="8.88671875" customWidth="1"/>
    <col min="64" max="64" width="11.88671875" bestFit="1" customWidth="1"/>
    <col min="65" max="65" width="17.33203125" bestFit="1" customWidth="1"/>
  </cols>
  <sheetData>
    <row r="1" spans="2:62" x14ac:dyDescent="0.3">
      <c r="AR1" t="s">
        <v>43</v>
      </c>
    </row>
    <row r="2" spans="2:62" x14ac:dyDescent="0.3">
      <c r="C2" s="5" t="s">
        <v>39</v>
      </c>
      <c r="D2" s="5" t="s">
        <v>40</v>
      </c>
      <c r="E2" s="5" t="s">
        <v>41</v>
      </c>
      <c r="F2" s="5" t="s">
        <v>42</v>
      </c>
      <c r="G2" s="5" t="s">
        <v>12</v>
      </c>
      <c r="H2" s="5" t="s">
        <v>13</v>
      </c>
      <c r="I2" s="5" t="s">
        <v>14</v>
      </c>
      <c r="J2" s="5" t="s">
        <v>15</v>
      </c>
      <c r="K2" s="5" t="s">
        <v>16</v>
      </c>
      <c r="L2" s="5" t="s">
        <v>17</v>
      </c>
      <c r="M2" s="5" t="s">
        <v>18</v>
      </c>
      <c r="N2" s="5" t="s">
        <v>19</v>
      </c>
      <c r="O2" s="5" t="s">
        <v>20</v>
      </c>
      <c r="P2" s="5" t="s">
        <v>10</v>
      </c>
      <c r="Q2" s="5" t="s">
        <v>21</v>
      </c>
      <c r="R2" s="5" t="s">
        <v>22</v>
      </c>
      <c r="S2" s="5" t="s">
        <v>54</v>
      </c>
      <c r="T2" s="5" t="s">
        <v>55</v>
      </c>
      <c r="U2" s="5" t="s">
        <v>56</v>
      </c>
      <c r="V2" s="5" t="s">
        <v>57</v>
      </c>
      <c r="W2" s="5" t="s">
        <v>62</v>
      </c>
      <c r="X2" s="5" t="s">
        <v>63</v>
      </c>
      <c r="Y2" s="5" t="s">
        <v>64</v>
      </c>
      <c r="Z2" s="5" t="s">
        <v>65</v>
      </c>
      <c r="AA2" s="5" t="s">
        <v>66</v>
      </c>
      <c r="AB2" s="5" t="s">
        <v>67</v>
      </c>
      <c r="AC2" s="5" t="s">
        <v>68</v>
      </c>
      <c r="AD2" s="5" t="s">
        <v>69</v>
      </c>
      <c r="AE2" s="5" t="s">
        <v>61</v>
      </c>
      <c r="AF2" s="5" t="s">
        <v>70</v>
      </c>
      <c r="AG2" s="5" t="s">
        <v>71</v>
      </c>
      <c r="AH2" s="5" t="s">
        <v>72</v>
      </c>
      <c r="AI2" s="5" t="s">
        <v>86</v>
      </c>
      <c r="AJ2" s="5" t="s">
        <v>87</v>
      </c>
      <c r="AK2" s="5" t="s">
        <v>88</v>
      </c>
      <c r="AL2" s="5" t="s">
        <v>89</v>
      </c>
      <c r="AM2" s="5" t="s">
        <v>93</v>
      </c>
      <c r="AN2" s="5" t="s">
        <v>94</v>
      </c>
      <c r="AO2" s="5" t="s">
        <v>95</v>
      </c>
      <c r="AP2" s="5" t="s">
        <v>96</v>
      </c>
      <c r="AR2">
        <v>2017</v>
      </c>
      <c r="AS2">
        <v>2018</v>
      </c>
      <c r="AT2">
        <v>2019</v>
      </c>
      <c r="AU2">
        <v>2020</v>
      </c>
      <c r="AV2">
        <v>2021</v>
      </c>
      <c r="AW2">
        <v>2022</v>
      </c>
      <c r="AX2">
        <v>2023</v>
      </c>
      <c r="AY2">
        <v>2024</v>
      </c>
      <c r="AZ2">
        <v>2025</v>
      </c>
      <c r="BA2">
        <v>2026</v>
      </c>
      <c r="BB2">
        <v>2027</v>
      </c>
      <c r="BC2">
        <v>2028</v>
      </c>
      <c r="BD2">
        <v>2029</v>
      </c>
      <c r="BE2">
        <v>2030</v>
      </c>
      <c r="BF2">
        <v>2031</v>
      </c>
      <c r="BG2">
        <v>2032</v>
      </c>
      <c r="BH2">
        <v>2033</v>
      </c>
      <c r="BI2">
        <v>2034</v>
      </c>
      <c r="BJ2">
        <v>2035</v>
      </c>
    </row>
    <row r="3" spans="2:62" x14ac:dyDescent="0.3">
      <c r="B3" t="s">
        <v>74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>
        <v>40359</v>
      </c>
      <c r="AB3" s="11">
        <v>42628</v>
      </c>
      <c r="AC3" s="11">
        <v>44026</v>
      </c>
      <c r="AD3" s="11">
        <f>AX3-AC3-AB3-AA3</f>
        <v>48020</v>
      </c>
      <c r="AE3" s="11">
        <v>46156</v>
      </c>
      <c r="AF3" s="11">
        <v>48509</v>
      </c>
      <c r="AG3" s="1">
        <v>49385</v>
      </c>
      <c r="AH3" s="11">
        <v>54034</v>
      </c>
      <c r="AI3" s="11">
        <v>50702</v>
      </c>
      <c r="AJ3" s="11">
        <v>54190</v>
      </c>
      <c r="AK3" s="11">
        <v>56567</v>
      </c>
      <c r="AL3" s="11">
        <v>63073</v>
      </c>
      <c r="AM3" s="11"/>
      <c r="AN3" s="11"/>
      <c r="AO3" s="11"/>
      <c r="AP3" s="11"/>
      <c r="AR3" s="1"/>
      <c r="AS3" s="1"/>
      <c r="AT3" s="1"/>
      <c r="AU3" s="1">
        <v>104062</v>
      </c>
      <c r="AV3" s="1">
        <v>148951</v>
      </c>
      <c r="AW3" s="1">
        <v>162450</v>
      </c>
      <c r="AX3" s="1">
        <v>175033</v>
      </c>
      <c r="AY3" s="1">
        <f>SUM(AE3:AH3)</f>
        <v>198084</v>
      </c>
      <c r="AZ3" s="1">
        <f>SUM(AI3:AL3)</f>
        <v>224532</v>
      </c>
      <c r="BA3" s="1">
        <f>AZ3*1.09</f>
        <v>244739.88</v>
      </c>
      <c r="BB3" s="1">
        <f>BA3*1.06</f>
        <v>259424.27280000001</v>
      </c>
      <c r="BC3" s="1">
        <f>BB3*1.04</f>
        <v>269801.24371200002</v>
      </c>
      <c r="BD3" s="1">
        <f>BC3*1.03</f>
        <v>277895.28102336003</v>
      </c>
      <c r="BE3" s="1">
        <f t="shared" ref="BE3" si="0">BD3*1.02</f>
        <v>283453.18664382724</v>
      </c>
      <c r="BF3" s="1">
        <f t="shared" ref="BF3" si="1">BE3*1.02</f>
        <v>289122.2503767038</v>
      </c>
      <c r="BG3" s="1">
        <f t="shared" ref="BG3" si="2">BF3*1.02</f>
        <v>294904.69538423786</v>
      </c>
      <c r="BH3" s="1">
        <f t="shared" ref="BH3:BJ3" si="3">BG3*1.01</f>
        <v>297853.74233808025</v>
      </c>
      <c r="BI3" s="1">
        <f t="shared" si="3"/>
        <v>300832.27976146108</v>
      </c>
      <c r="BJ3" s="1">
        <f t="shared" si="3"/>
        <v>303840.60255907569</v>
      </c>
    </row>
    <row r="4" spans="2:62" x14ac:dyDescent="0.3">
      <c r="B4" t="s">
        <v>73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>
        <v>6693</v>
      </c>
      <c r="AB4" s="11">
        <v>7665</v>
      </c>
      <c r="AC4" s="11">
        <v>7952</v>
      </c>
      <c r="AD4" s="11">
        <f t="shared" ref="AD4:AD9" si="4">AX4-AC4-AB4-AA4</f>
        <v>9200</v>
      </c>
      <c r="AE4" s="11">
        <v>8090</v>
      </c>
      <c r="AF4" s="11">
        <v>8663</v>
      </c>
      <c r="AG4" s="1">
        <v>8921</v>
      </c>
      <c r="AH4" s="11">
        <v>10473</v>
      </c>
      <c r="AI4" s="11">
        <v>8927</v>
      </c>
      <c r="AJ4" s="11">
        <v>9796</v>
      </c>
      <c r="AK4" s="11">
        <v>10261</v>
      </c>
      <c r="AL4" s="11">
        <v>11383</v>
      </c>
      <c r="AM4" s="11"/>
      <c r="AN4" s="11"/>
      <c r="AO4" s="11"/>
      <c r="AP4" s="11"/>
      <c r="AR4" s="1"/>
      <c r="AS4" s="1"/>
      <c r="AT4" s="1"/>
      <c r="AU4" s="1">
        <v>19772</v>
      </c>
      <c r="AV4" s="1">
        <v>28845</v>
      </c>
      <c r="AW4" s="1">
        <v>29243</v>
      </c>
      <c r="AX4" s="1">
        <v>31510</v>
      </c>
      <c r="AY4" s="1">
        <f t="shared" ref="AY4:AY9" si="5">SUM(AE4:AH4)</f>
        <v>36147</v>
      </c>
      <c r="AZ4" s="1">
        <f t="shared" ref="AZ4:AZ9" si="6">SUM(AI4:AL4)</f>
        <v>40367</v>
      </c>
      <c r="BA4" s="1">
        <f>AZ4*1.08</f>
        <v>43596.36</v>
      </c>
      <c r="BB4" s="1">
        <f>BA4*1.06</f>
        <v>46212.141600000003</v>
      </c>
      <c r="BC4" s="1">
        <f>BB4*1.04</f>
        <v>48060.627264000002</v>
      </c>
      <c r="BD4" s="1">
        <f>BC4*1.03</f>
        <v>49502.446081920003</v>
      </c>
      <c r="BE4" s="1">
        <f>BD4*1.03</f>
        <v>50987.519464377605</v>
      </c>
      <c r="BF4" s="1">
        <f>BE4*1.02</f>
        <v>52007.269853665159</v>
      </c>
      <c r="BG4" s="1">
        <f t="shared" ref="BG4:BJ4" si="7">BF4*1.02</f>
        <v>53047.415250738464</v>
      </c>
      <c r="BH4" s="1">
        <f t="shared" si="7"/>
        <v>54108.363555753233</v>
      </c>
      <c r="BI4" s="1">
        <f t="shared" si="7"/>
        <v>55190.5308268683</v>
      </c>
      <c r="BJ4" s="1">
        <f t="shared" si="7"/>
        <v>56294.341443405669</v>
      </c>
    </row>
    <row r="5" spans="2:62" x14ac:dyDescent="0.3">
      <c r="B5" t="s">
        <v>75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>
        <v>7496</v>
      </c>
      <c r="AB5" s="11">
        <v>7850</v>
      </c>
      <c r="AC5" s="11">
        <v>7669</v>
      </c>
      <c r="AD5" s="11">
        <f t="shared" si="4"/>
        <v>8297</v>
      </c>
      <c r="AE5" s="11">
        <v>7413</v>
      </c>
      <c r="AF5" s="11">
        <v>7444</v>
      </c>
      <c r="AG5" s="1">
        <v>7548</v>
      </c>
      <c r="AH5" s="11">
        <v>7954</v>
      </c>
      <c r="AI5" s="11">
        <v>7256</v>
      </c>
      <c r="AJ5" s="11">
        <v>7354</v>
      </c>
      <c r="AK5" s="11">
        <v>7354</v>
      </c>
      <c r="AL5" s="11">
        <v>7828</v>
      </c>
      <c r="AM5" s="11"/>
      <c r="AN5" s="11"/>
      <c r="AO5" s="11"/>
      <c r="AP5" s="11"/>
      <c r="AR5" s="1"/>
      <c r="AS5" s="1"/>
      <c r="AT5" s="1"/>
      <c r="AU5" s="1">
        <v>23090</v>
      </c>
      <c r="AV5" s="1">
        <v>31701</v>
      </c>
      <c r="AW5" s="1">
        <v>32780</v>
      </c>
      <c r="AX5" s="1">
        <v>31312</v>
      </c>
      <c r="AY5" s="1">
        <f t="shared" si="5"/>
        <v>30359</v>
      </c>
      <c r="AZ5" s="1">
        <f t="shared" si="6"/>
        <v>29792</v>
      </c>
      <c r="BA5" s="1">
        <f>AZ5*1.01</f>
        <v>30089.920000000002</v>
      </c>
      <c r="BB5" s="1">
        <f t="shared" ref="BB5:BJ5" si="8">BA5*1.01</f>
        <v>30390.819200000002</v>
      </c>
      <c r="BC5" s="1">
        <f t="shared" si="8"/>
        <v>30694.727392000001</v>
      </c>
      <c r="BD5" s="1">
        <f t="shared" si="8"/>
        <v>31001.67466592</v>
      </c>
      <c r="BE5" s="1">
        <f t="shared" si="8"/>
        <v>31311.691412579199</v>
      </c>
      <c r="BF5" s="1">
        <f t="shared" si="8"/>
        <v>31624.808326704991</v>
      </c>
      <c r="BG5" s="1">
        <f t="shared" si="8"/>
        <v>31941.056409972043</v>
      </c>
      <c r="BH5" s="1">
        <f t="shared" si="8"/>
        <v>32260.466974071765</v>
      </c>
      <c r="BI5" s="1">
        <f t="shared" si="8"/>
        <v>32583.071643812484</v>
      </c>
      <c r="BJ5" s="1">
        <f t="shared" si="8"/>
        <v>32908.902360250606</v>
      </c>
    </row>
    <row r="6" spans="2:62" x14ac:dyDescent="0.3">
      <c r="B6" t="s">
        <v>76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>
        <v>7413</v>
      </c>
      <c r="AB6" s="11">
        <v>8142</v>
      </c>
      <c r="AC6" s="11">
        <v>8339</v>
      </c>
      <c r="AD6" s="11">
        <f t="shared" si="4"/>
        <v>10794</v>
      </c>
      <c r="AE6" s="11">
        <v>8739</v>
      </c>
      <c r="AF6" s="11">
        <v>9312</v>
      </c>
      <c r="AG6" s="1">
        <v>10656</v>
      </c>
      <c r="AH6" s="11">
        <v>11633</v>
      </c>
      <c r="AI6" s="11">
        <v>10379</v>
      </c>
      <c r="AJ6" s="11">
        <v>11203</v>
      </c>
      <c r="AK6" s="11">
        <v>12870</v>
      </c>
      <c r="AL6" s="11">
        <v>13578</v>
      </c>
      <c r="AM6" s="11"/>
      <c r="AN6" s="11"/>
      <c r="AO6" s="11"/>
      <c r="AP6" s="11"/>
      <c r="AR6" s="1"/>
      <c r="AS6" s="1"/>
      <c r="AT6" s="1"/>
      <c r="AU6" s="1">
        <v>21711</v>
      </c>
      <c r="AV6" s="1">
        <v>28032</v>
      </c>
      <c r="AW6" s="1">
        <v>29055</v>
      </c>
      <c r="AX6" s="1">
        <v>34688</v>
      </c>
      <c r="AY6" s="1">
        <f t="shared" si="5"/>
        <v>40340</v>
      </c>
      <c r="AZ6" s="1">
        <f t="shared" si="6"/>
        <v>48030</v>
      </c>
      <c r="BA6" s="1">
        <f>AZ6*1.12</f>
        <v>53793.600000000006</v>
      </c>
      <c r="BB6" s="1">
        <f>BA6*1.08</f>
        <v>58097.088000000011</v>
      </c>
      <c r="BC6" s="1">
        <f>BB6*1.06</f>
        <v>61582.913280000015</v>
      </c>
      <c r="BD6" s="1">
        <f>BC6*1.05</f>
        <v>64662.058944000019</v>
      </c>
      <c r="BE6" s="1">
        <f>BD6*1.04</f>
        <v>67248.541301760022</v>
      </c>
      <c r="BF6" s="1">
        <f t="shared" ref="BF6:BJ6" si="9">BE6*1.03</f>
        <v>69265.997540812823</v>
      </c>
      <c r="BG6" s="1">
        <f t="shared" si="9"/>
        <v>71343.977467037214</v>
      </c>
      <c r="BH6" s="1">
        <f t="shared" si="9"/>
        <v>73484.296791048328</v>
      </c>
      <c r="BI6" s="1">
        <f t="shared" si="9"/>
        <v>75688.825694779778</v>
      </c>
      <c r="BJ6" s="1">
        <f t="shared" si="9"/>
        <v>77959.490465623167</v>
      </c>
    </row>
    <row r="7" spans="2:62" x14ac:dyDescent="0.3">
      <c r="B7" t="s">
        <v>77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>
        <v>7454</v>
      </c>
      <c r="AB7" s="11">
        <v>8031</v>
      </c>
      <c r="AC7" s="11">
        <v>8411</v>
      </c>
      <c r="AD7" s="11">
        <f t="shared" si="4"/>
        <v>9192</v>
      </c>
      <c r="AE7" s="11">
        <v>9574</v>
      </c>
      <c r="AF7" s="11">
        <v>10347</v>
      </c>
      <c r="AG7" s="1">
        <v>11353</v>
      </c>
      <c r="AH7" s="11">
        <v>11955</v>
      </c>
      <c r="AI7" s="11">
        <v>12260</v>
      </c>
      <c r="AJ7" s="11">
        <v>13624</v>
      </c>
      <c r="AK7" s="11">
        <v>15157</v>
      </c>
      <c r="AL7" s="11">
        <v>17664</v>
      </c>
      <c r="AM7" s="11"/>
      <c r="AN7" s="11"/>
      <c r="AO7" s="11"/>
      <c r="AP7" s="11"/>
      <c r="AR7" s="1"/>
      <c r="AS7" s="1"/>
      <c r="AT7" s="1"/>
      <c r="AU7" s="1">
        <v>13059</v>
      </c>
      <c r="AV7" s="1">
        <v>19206</v>
      </c>
      <c r="AW7" s="1">
        <v>26280</v>
      </c>
      <c r="AX7" s="1">
        <v>33088</v>
      </c>
      <c r="AY7" s="1">
        <f t="shared" si="5"/>
        <v>43229</v>
      </c>
      <c r="AZ7" s="1">
        <f t="shared" si="6"/>
        <v>58705</v>
      </c>
      <c r="BA7" s="1">
        <f>AZ7*1.2</f>
        <v>70446</v>
      </c>
      <c r="BB7" s="1">
        <f>BA7*1.15</f>
        <v>81012.899999999994</v>
      </c>
      <c r="BC7" s="1">
        <f>BB7*1.1</f>
        <v>89114.19</v>
      </c>
      <c r="BD7" s="1">
        <f>BC7*1.08</f>
        <v>96243.325200000007</v>
      </c>
      <c r="BE7" s="1">
        <f>BD7*1.06</f>
        <v>102017.92471200001</v>
      </c>
      <c r="BF7" s="1">
        <f>BE7*1.05</f>
        <v>107118.82094760002</v>
      </c>
      <c r="BG7" s="1">
        <f>BF7*1.03</f>
        <v>110332.38557602803</v>
      </c>
      <c r="BH7" s="1">
        <f>BG7*1.02</f>
        <v>112539.03328754859</v>
      </c>
      <c r="BI7" s="1">
        <f t="shared" ref="BI7:BJ7" si="10">BH7*1.02</f>
        <v>114789.81395329957</v>
      </c>
      <c r="BJ7" s="1">
        <f t="shared" si="10"/>
        <v>117085.61023236557</v>
      </c>
    </row>
    <row r="8" spans="2:62" x14ac:dyDescent="0.3">
      <c r="B8" t="s">
        <v>78</v>
      </c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>
        <v>288</v>
      </c>
      <c r="AB8" s="11">
        <v>285</v>
      </c>
      <c r="AC8" s="11">
        <v>297</v>
      </c>
      <c r="AD8" s="11">
        <f t="shared" si="4"/>
        <v>657</v>
      </c>
      <c r="AE8" s="11">
        <v>495</v>
      </c>
      <c r="AF8" s="11">
        <v>365</v>
      </c>
      <c r="AG8" s="1">
        <v>388</v>
      </c>
      <c r="AH8" s="11">
        <v>400</v>
      </c>
      <c r="AI8" s="11">
        <v>450</v>
      </c>
      <c r="AJ8" s="11">
        <v>373</v>
      </c>
      <c r="AK8" s="11">
        <v>344</v>
      </c>
      <c r="AL8" s="11">
        <v>370</v>
      </c>
      <c r="AM8" s="11"/>
      <c r="AN8" s="11"/>
      <c r="AO8" s="11"/>
      <c r="AP8" s="11"/>
      <c r="AR8" s="1"/>
      <c r="AS8" s="1"/>
      <c r="AT8" s="1"/>
      <c r="AU8" s="1">
        <v>657</v>
      </c>
      <c r="AV8" s="1">
        <v>753</v>
      </c>
      <c r="AW8" s="1">
        <v>1068</v>
      </c>
      <c r="AX8" s="1">
        <v>1527</v>
      </c>
      <c r="AY8" s="1">
        <f t="shared" si="5"/>
        <v>1648</v>
      </c>
      <c r="AZ8" s="1">
        <f t="shared" si="6"/>
        <v>1537</v>
      </c>
      <c r="BA8" s="1">
        <f>AZ8*1.25</f>
        <v>1921.25</v>
      </c>
      <c r="BB8" s="1">
        <f>BA8*1.2</f>
        <v>2305.5</v>
      </c>
      <c r="BC8" s="1">
        <f>BB8*1.15</f>
        <v>2651.3249999999998</v>
      </c>
      <c r="BD8" s="1">
        <f>BC8*1.1</f>
        <v>2916.4575</v>
      </c>
      <c r="BE8" s="1">
        <f>BD8*1.05</f>
        <v>3062.2803750000003</v>
      </c>
      <c r="BF8" s="1">
        <f t="shared" ref="BF8:BJ8" si="11">BE8*1.05</f>
        <v>3215.3943937500003</v>
      </c>
      <c r="BG8" s="1">
        <f t="shared" si="11"/>
        <v>3376.1641134375004</v>
      </c>
      <c r="BH8" s="1">
        <f t="shared" si="11"/>
        <v>3544.9723191093758</v>
      </c>
      <c r="BI8" s="1">
        <f t="shared" si="11"/>
        <v>3722.2209350648445</v>
      </c>
      <c r="BJ8" s="1">
        <f t="shared" si="11"/>
        <v>3908.3319818180871</v>
      </c>
    </row>
    <row r="9" spans="2:62" x14ac:dyDescent="0.3">
      <c r="B9" t="s">
        <v>79</v>
      </c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>
        <v>84</v>
      </c>
      <c r="AB9" s="11">
        <v>3</v>
      </c>
      <c r="AC9" s="11">
        <v>-1</v>
      </c>
      <c r="AD9" s="11">
        <f t="shared" si="4"/>
        <v>150</v>
      </c>
      <c r="AE9" s="11">
        <v>72</v>
      </c>
      <c r="AF9" s="11">
        <v>102</v>
      </c>
      <c r="AG9" s="1">
        <v>17</v>
      </c>
      <c r="AH9" s="11">
        <v>20</v>
      </c>
      <c r="AI9" s="11">
        <v>260</v>
      </c>
      <c r="AJ9" s="11">
        <v>-112</v>
      </c>
      <c r="AK9" s="11">
        <v>-207</v>
      </c>
      <c r="AL9" s="11">
        <v>-68</v>
      </c>
      <c r="AM9" s="11"/>
      <c r="AN9" s="11"/>
      <c r="AO9" s="11"/>
      <c r="AP9" s="11"/>
      <c r="AR9" s="1"/>
      <c r="AS9" s="1"/>
      <c r="AT9" s="1"/>
      <c r="AU9" s="1">
        <v>176</v>
      </c>
      <c r="AV9" s="1">
        <v>149</v>
      </c>
      <c r="AW9" s="1">
        <v>1960</v>
      </c>
      <c r="AX9" s="1">
        <v>236</v>
      </c>
      <c r="AY9" s="1">
        <f t="shared" si="5"/>
        <v>211</v>
      </c>
      <c r="AZ9" s="1">
        <f t="shared" si="6"/>
        <v>-127</v>
      </c>
      <c r="BA9" s="1">
        <f t="shared" ref="BA9:BJ9" si="12">AZ9*1.02</f>
        <v>-129.54</v>
      </c>
      <c r="BB9" s="1">
        <f t="shared" si="12"/>
        <v>-132.13079999999999</v>
      </c>
      <c r="BC9" s="1">
        <f t="shared" si="12"/>
        <v>-134.773416</v>
      </c>
      <c r="BD9" s="1">
        <f t="shared" si="12"/>
        <v>-137.46888432</v>
      </c>
      <c r="BE9" s="1">
        <f t="shared" si="12"/>
        <v>-140.21826200640001</v>
      </c>
      <c r="BF9" s="1">
        <f t="shared" si="12"/>
        <v>-143.022627246528</v>
      </c>
      <c r="BG9" s="1">
        <f t="shared" si="12"/>
        <v>-145.88307979145856</v>
      </c>
      <c r="BH9" s="1">
        <f t="shared" si="12"/>
        <v>-148.80074138728773</v>
      </c>
      <c r="BI9" s="1">
        <f t="shared" si="12"/>
        <v>-151.77675621503349</v>
      </c>
      <c r="BJ9" s="1">
        <f t="shared" si="12"/>
        <v>-154.81229133933417</v>
      </c>
    </row>
    <row r="10" spans="2:62" s="6" customFormat="1" x14ac:dyDescent="0.3">
      <c r="B10" s="6" t="s">
        <v>11</v>
      </c>
      <c r="C10" s="9">
        <v>24750</v>
      </c>
      <c r="D10" s="9">
        <v>26010</v>
      </c>
      <c r="E10" s="9">
        <v>27772</v>
      </c>
      <c r="F10" s="9">
        <v>32232</v>
      </c>
      <c r="G10" s="9">
        <v>31146</v>
      </c>
      <c r="H10" s="9">
        <v>32657</v>
      </c>
      <c r="I10" s="9">
        <v>33740</v>
      </c>
      <c r="J10" s="9">
        <v>39276</v>
      </c>
      <c r="K10" s="9">
        <v>36339</v>
      </c>
      <c r="L10" s="9">
        <v>38944</v>
      </c>
      <c r="M10" s="9">
        <v>40499</v>
      </c>
      <c r="N10" s="9">
        <v>46075</v>
      </c>
      <c r="O10" s="9">
        <v>41159</v>
      </c>
      <c r="P10" s="9">
        <v>38297</v>
      </c>
      <c r="Q10" s="9">
        <v>46173</v>
      </c>
      <c r="R10" s="9">
        <v>56898</v>
      </c>
      <c r="S10" s="9">
        <v>55314</v>
      </c>
      <c r="T10" s="9">
        <v>55314</v>
      </c>
      <c r="U10" s="9">
        <v>65118</v>
      </c>
      <c r="V10" s="9">
        <v>75325</v>
      </c>
      <c r="W10" s="9">
        <v>68011</v>
      </c>
      <c r="X10" s="9">
        <v>69685</v>
      </c>
      <c r="Y10" s="9">
        <v>69092</v>
      </c>
      <c r="Z10" s="9">
        <v>76048</v>
      </c>
      <c r="AA10" s="9">
        <f>SUM(AA3:AA9)</f>
        <v>69787</v>
      </c>
      <c r="AB10" s="9">
        <f>SUM(AB3:AB9)</f>
        <v>74604</v>
      </c>
      <c r="AC10" s="9">
        <f>SUM(AC3:AC9)</f>
        <v>76693</v>
      </c>
      <c r="AD10" s="9">
        <v>86310</v>
      </c>
      <c r="AE10" s="9">
        <v>80539</v>
      </c>
      <c r="AF10" s="9">
        <f>SUM(AF3:AF9)</f>
        <v>84742</v>
      </c>
      <c r="AG10" s="9">
        <f>SUM(AG3:AG9)</f>
        <v>88268</v>
      </c>
      <c r="AH10" s="9">
        <f>SUM(AH3:AH9)</f>
        <v>96469</v>
      </c>
      <c r="AI10" s="9">
        <f>SUM(AI3:AI9)</f>
        <v>90234</v>
      </c>
      <c r="AJ10" s="9">
        <f t="shared" ref="AJ10:AL10" si="13">SUM(AJ3:AJ9)</f>
        <v>96428</v>
      </c>
      <c r="AK10" s="9">
        <f t="shared" si="13"/>
        <v>102346</v>
      </c>
      <c r="AL10" s="9">
        <f t="shared" si="13"/>
        <v>113828</v>
      </c>
      <c r="AM10" s="9"/>
      <c r="AN10" s="9"/>
      <c r="AO10" s="9"/>
      <c r="AP10" s="9"/>
      <c r="AR10" s="9">
        <f>SUM(C10:F10)</f>
        <v>110764</v>
      </c>
      <c r="AS10" s="9">
        <f>SUM(G10:J10)</f>
        <v>136819</v>
      </c>
      <c r="AT10" s="9">
        <f>SUM(K10:N10)</f>
        <v>161857</v>
      </c>
      <c r="AU10" s="9">
        <f>SUM(O10:R10)</f>
        <v>182527</v>
      </c>
      <c r="AV10" s="9">
        <f>SUM(S10:V10)</f>
        <v>251071</v>
      </c>
      <c r="AW10" s="9">
        <f>SUM(W10:Z10)</f>
        <v>282836</v>
      </c>
      <c r="AX10" s="9">
        <f>SUM(AA10:AD10)</f>
        <v>307394</v>
      </c>
      <c r="AY10" s="9">
        <f>SUM(AY3:AY9)</f>
        <v>350018</v>
      </c>
      <c r="AZ10" s="9">
        <f>SUM(AZ3:AZ9)</f>
        <v>402836</v>
      </c>
      <c r="BA10" s="9">
        <f t="shared" ref="BA10:BJ10" si="14">SUM(BA3:BA9)</f>
        <v>444457.47000000003</v>
      </c>
      <c r="BB10" s="9">
        <f t="shared" si="14"/>
        <v>477310.59080000006</v>
      </c>
      <c r="BC10" s="9">
        <f t="shared" si="14"/>
        <v>501770.25323200005</v>
      </c>
      <c r="BD10" s="9">
        <f t="shared" si="14"/>
        <v>522083.77453088009</v>
      </c>
      <c r="BE10" s="9">
        <f t="shared" si="14"/>
        <v>537940.92564753769</v>
      </c>
      <c r="BF10" s="9">
        <f t="shared" si="14"/>
        <v>552211.51881199027</v>
      </c>
      <c r="BG10" s="9">
        <f t="shared" si="14"/>
        <v>564799.81112165959</v>
      </c>
      <c r="BH10" s="9">
        <f t="shared" si="14"/>
        <v>573642.07452422427</v>
      </c>
      <c r="BI10" s="9">
        <f t="shared" si="14"/>
        <v>582654.96605907101</v>
      </c>
      <c r="BJ10" s="9">
        <f t="shared" si="14"/>
        <v>591842.46675119933</v>
      </c>
    </row>
    <row r="11" spans="2:62" x14ac:dyDescent="0.3">
      <c r="B11" t="s">
        <v>23</v>
      </c>
      <c r="C11" s="1">
        <v>9795</v>
      </c>
      <c r="D11" s="1">
        <v>10373</v>
      </c>
      <c r="E11" s="1">
        <v>11148</v>
      </c>
      <c r="F11" s="1">
        <v>14267</v>
      </c>
      <c r="G11" s="1">
        <v>13467</v>
      </c>
      <c r="H11" s="1">
        <v>13883</v>
      </c>
      <c r="I11" s="1">
        <v>14281</v>
      </c>
      <c r="J11" s="1">
        <v>17918</v>
      </c>
      <c r="K11" s="1">
        <v>16012</v>
      </c>
      <c r="L11" s="1">
        <v>17296</v>
      </c>
      <c r="M11" s="1">
        <v>17568</v>
      </c>
      <c r="N11" s="1">
        <v>21020</v>
      </c>
      <c r="O11" s="1">
        <v>18982</v>
      </c>
      <c r="P11" s="1">
        <v>18553</v>
      </c>
      <c r="Q11" s="1">
        <v>21117</v>
      </c>
      <c r="R11" s="1">
        <v>26080</v>
      </c>
      <c r="S11" s="1">
        <v>24103</v>
      </c>
      <c r="T11" s="1">
        <v>24103</v>
      </c>
      <c r="U11" s="1">
        <v>27621</v>
      </c>
      <c r="V11" s="1">
        <v>32988</v>
      </c>
      <c r="W11" s="1">
        <v>29599</v>
      </c>
      <c r="X11" s="1">
        <v>30104</v>
      </c>
      <c r="Y11" s="1">
        <v>31158</v>
      </c>
      <c r="Z11" s="1">
        <v>35342</v>
      </c>
      <c r="AA11" s="1">
        <v>30612</v>
      </c>
      <c r="AB11" s="1">
        <v>31916</v>
      </c>
      <c r="AC11" s="1">
        <v>33229</v>
      </c>
      <c r="AD11" s="1">
        <v>37575</v>
      </c>
      <c r="AE11" s="1">
        <v>33712</v>
      </c>
      <c r="AF11" s="1">
        <v>35507</v>
      </c>
      <c r="AG11" s="1">
        <v>36474</v>
      </c>
      <c r="AH11" s="1">
        <v>40613</v>
      </c>
      <c r="AI11" s="1">
        <v>36361</v>
      </c>
      <c r="AJ11" s="1">
        <v>39039</v>
      </c>
      <c r="AK11" s="1">
        <v>41369</v>
      </c>
      <c r="AL11" s="1">
        <v>45766</v>
      </c>
      <c r="AM11" s="1"/>
      <c r="AN11" s="1"/>
      <c r="AO11" s="1"/>
      <c r="AP11" s="1"/>
      <c r="AR11" s="1">
        <f>SUM(C11:F11)</f>
        <v>45583</v>
      </c>
      <c r="AS11" s="1">
        <f>SUM(G11:J11)</f>
        <v>59549</v>
      </c>
      <c r="AT11" s="1">
        <f>SUM(K11:N11)</f>
        <v>71896</v>
      </c>
      <c r="AU11" s="1">
        <f>SUM(O11:R11)</f>
        <v>84732</v>
      </c>
      <c r="AV11" s="1">
        <f>SUM(S11:V11)</f>
        <v>108815</v>
      </c>
      <c r="AW11" s="1">
        <f>SUM(W11:Z11)</f>
        <v>126203</v>
      </c>
      <c r="AX11" s="1">
        <f>SUM(AA11:AD11)</f>
        <v>133332</v>
      </c>
      <c r="AY11" s="1">
        <f>SUM(AE11:AH11)</f>
        <v>146306</v>
      </c>
      <c r="AZ11" s="1">
        <f>SUM(AI11:AL11)</f>
        <v>162535</v>
      </c>
      <c r="BA11" s="1">
        <f t="shared" ref="BA11:BE11" si="15">BA10-BA12</f>
        <v>177782.98800000001</v>
      </c>
      <c r="BB11" s="1">
        <f t="shared" si="15"/>
        <v>190924.23632000003</v>
      </c>
      <c r="BC11" s="1">
        <f t="shared" si="15"/>
        <v>200708.10129280004</v>
      </c>
      <c r="BD11" s="1">
        <f t="shared" si="15"/>
        <v>208833.50981235207</v>
      </c>
      <c r="BE11" s="1">
        <f t="shared" si="15"/>
        <v>215176.37025901506</v>
      </c>
      <c r="BF11" s="1">
        <f t="shared" ref="BF11:BJ11" si="16">BF10-BF12</f>
        <v>220884.6075247961</v>
      </c>
      <c r="BG11" s="1">
        <f t="shared" si="16"/>
        <v>225919.92444866383</v>
      </c>
      <c r="BH11" s="1">
        <f t="shared" si="16"/>
        <v>229456.82980968972</v>
      </c>
      <c r="BI11" s="1">
        <f t="shared" si="16"/>
        <v>233061.9864236284</v>
      </c>
      <c r="BJ11" s="1">
        <f t="shared" si="16"/>
        <v>236736.98670047976</v>
      </c>
    </row>
    <row r="12" spans="2:62" s="6" customFormat="1" x14ac:dyDescent="0.3">
      <c r="B12" s="6" t="s">
        <v>24</v>
      </c>
      <c r="C12" s="9">
        <f t="shared" ref="C12:T12" si="17">C10-C11</f>
        <v>14955</v>
      </c>
      <c r="D12" s="9">
        <f t="shared" si="17"/>
        <v>15637</v>
      </c>
      <c r="E12" s="9">
        <f t="shared" si="17"/>
        <v>16624</v>
      </c>
      <c r="F12" s="9">
        <f t="shared" si="17"/>
        <v>17965</v>
      </c>
      <c r="G12" s="9">
        <f t="shared" si="17"/>
        <v>17679</v>
      </c>
      <c r="H12" s="9">
        <f t="shared" si="17"/>
        <v>18774</v>
      </c>
      <c r="I12" s="9">
        <f t="shared" si="17"/>
        <v>19459</v>
      </c>
      <c r="J12" s="9">
        <f t="shared" si="17"/>
        <v>21358</v>
      </c>
      <c r="K12" s="9">
        <f t="shared" si="17"/>
        <v>20327</v>
      </c>
      <c r="L12" s="9">
        <f t="shared" si="17"/>
        <v>21648</v>
      </c>
      <c r="M12" s="9">
        <f t="shared" si="17"/>
        <v>22931</v>
      </c>
      <c r="N12" s="9">
        <f t="shared" si="17"/>
        <v>25055</v>
      </c>
      <c r="O12" s="9">
        <f t="shared" si="17"/>
        <v>22177</v>
      </c>
      <c r="P12" s="9">
        <f t="shared" si="17"/>
        <v>19744</v>
      </c>
      <c r="Q12" s="9">
        <f t="shared" si="17"/>
        <v>25056</v>
      </c>
      <c r="R12" s="9">
        <f t="shared" si="17"/>
        <v>30818</v>
      </c>
      <c r="S12" s="9">
        <f t="shared" si="17"/>
        <v>31211</v>
      </c>
      <c r="T12" s="9">
        <f t="shared" si="17"/>
        <v>31211</v>
      </c>
      <c r="U12" s="9">
        <f t="shared" ref="U12:V12" si="18">U10-U11</f>
        <v>37497</v>
      </c>
      <c r="V12" s="9">
        <f t="shared" si="18"/>
        <v>42337</v>
      </c>
      <c r="W12" s="9">
        <f t="shared" ref="W12:X12" si="19">W10-W11</f>
        <v>38412</v>
      </c>
      <c r="X12" s="9">
        <f t="shared" si="19"/>
        <v>39581</v>
      </c>
      <c r="Y12" s="9">
        <f t="shared" ref="Y12" si="20">Y10-Y11</f>
        <v>37934</v>
      </c>
      <c r="Z12" s="9">
        <f t="shared" ref="Z12" si="21">Z10-Z11</f>
        <v>40706</v>
      </c>
      <c r="AA12" s="9">
        <f t="shared" ref="AA12:AB12" si="22">AA10-AA11</f>
        <v>39175</v>
      </c>
      <c r="AB12" s="9">
        <f t="shared" si="22"/>
        <v>42688</v>
      </c>
      <c r="AC12" s="9">
        <f t="shared" ref="AC12" si="23">AC10-AC11</f>
        <v>43464</v>
      </c>
      <c r="AD12" s="9">
        <f t="shared" ref="AD12" si="24">AD10-AD11</f>
        <v>48735</v>
      </c>
      <c r="AE12" s="9">
        <f t="shared" ref="AE12:AL12" si="25">AE10-AE11</f>
        <v>46827</v>
      </c>
      <c r="AF12" s="9">
        <f t="shared" si="25"/>
        <v>49235</v>
      </c>
      <c r="AG12" s="9">
        <f t="shared" si="25"/>
        <v>51794</v>
      </c>
      <c r="AH12" s="9">
        <f t="shared" si="25"/>
        <v>55856</v>
      </c>
      <c r="AI12" s="9">
        <f t="shared" si="25"/>
        <v>53873</v>
      </c>
      <c r="AJ12" s="9">
        <f t="shared" si="25"/>
        <v>57389</v>
      </c>
      <c r="AK12" s="9">
        <f t="shared" si="25"/>
        <v>60977</v>
      </c>
      <c r="AL12" s="9">
        <f t="shared" si="25"/>
        <v>68062</v>
      </c>
      <c r="AM12" s="9"/>
      <c r="AN12" s="9"/>
      <c r="AO12" s="9"/>
      <c r="AP12" s="9"/>
      <c r="AR12" s="9">
        <f t="shared" ref="AR12:AZ12" si="26">AR10-AR11</f>
        <v>65181</v>
      </c>
      <c r="AS12" s="9">
        <f t="shared" si="26"/>
        <v>77270</v>
      </c>
      <c r="AT12" s="9">
        <f t="shared" si="26"/>
        <v>89961</v>
      </c>
      <c r="AU12" s="9">
        <f t="shared" si="26"/>
        <v>97795</v>
      </c>
      <c r="AV12" s="9">
        <f t="shared" si="26"/>
        <v>142256</v>
      </c>
      <c r="AW12" s="9">
        <f t="shared" si="26"/>
        <v>156633</v>
      </c>
      <c r="AX12" s="9">
        <f t="shared" si="26"/>
        <v>174062</v>
      </c>
      <c r="AY12" s="9">
        <f t="shared" si="26"/>
        <v>203712</v>
      </c>
      <c r="AZ12" s="9">
        <f t="shared" si="26"/>
        <v>240301</v>
      </c>
      <c r="BA12" s="9">
        <f>BA10*0.6</f>
        <v>266674.48200000002</v>
      </c>
      <c r="BB12" s="9">
        <f t="shared" ref="BB12:BJ12" si="27">BB10*0.6</f>
        <v>286386.35448000004</v>
      </c>
      <c r="BC12" s="9">
        <f t="shared" si="27"/>
        <v>301062.1519392</v>
      </c>
      <c r="BD12" s="9">
        <f t="shared" si="27"/>
        <v>313250.26471852802</v>
      </c>
      <c r="BE12" s="9">
        <f t="shared" si="27"/>
        <v>322764.55538852263</v>
      </c>
      <c r="BF12" s="9">
        <f t="shared" si="27"/>
        <v>331326.91128719418</v>
      </c>
      <c r="BG12" s="9">
        <f t="shared" si="27"/>
        <v>338879.88667299575</v>
      </c>
      <c r="BH12" s="9">
        <f t="shared" si="27"/>
        <v>344185.24471453455</v>
      </c>
      <c r="BI12" s="9">
        <f t="shared" si="27"/>
        <v>349592.97963544261</v>
      </c>
      <c r="BJ12" s="9">
        <f t="shared" si="27"/>
        <v>355105.48005071958</v>
      </c>
    </row>
    <row r="13" spans="2:62" x14ac:dyDescent="0.3">
      <c r="B13" t="s">
        <v>25</v>
      </c>
      <c r="C13" s="1">
        <v>3942</v>
      </c>
      <c r="D13" s="1">
        <v>4172</v>
      </c>
      <c r="E13" s="1">
        <v>4205</v>
      </c>
      <c r="F13" s="1">
        <v>4306</v>
      </c>
      <c r="G13" s="1">
        <v>5039</v>
      </c>
      <c r="H13" s="1">
        <v>5114</v>
      </c>
      <c r="I13" s="1">
        <v>5232</v>
      </c>
      <c r="J13" s="1">
        <v>6034</v>
      </c>
      <c r="K13" s="1">
        <v>6029</v>
      </c>
      <c r="L13" s="1">
        <v>6213</v>
      </c>
      <c r="M13" s="1">
        <v>6554</v>
      </c>
      <c r="N13" s="1">
        <v>7222</v>
      </c>
      <c r="O13" s="1">
        <v>6820</v>
      </c>
      <c r="P13" s="1">
        <v>6875</v>
      </c>
      <c r="Q13" s="1">
        <v>6856</v>
      </c>
      <c r="R13" s="1">
        <v>7022</v>
      </c>
      <c r="S13" s="1">
        <v>7485</v>
      </c>
      <c r="T13" s="1">
        <v>7485</v>
      </c>
      <c r="U13" s="1">
        <v>7694</v>
      </c>
      <c r="V13" s="1">
        <v>8708</v>
      </c>
      <c r="W13" s="1">
        <v>9119</v>
      </c>
      <c r="X13" s="1">
        <v>9841</v>
      </c>
      <c r="Y13" s="1">
        <v>10273</v>
      </c>
      <c r="Z13" s="1">
        <v>10267</v>
      </c>
      <c r="AA13" s="1">
        <v>11468</v>
      </c>
      <c r="AB13" s="1">
        <v>10588</v>
      </c>
      <c r="AC13" s="1">
        <v>11258</v>
      </c>
      <c r="AD13" s="1">
        <v>12113</v>
      </c>
      <c r="AE13" s="1">
        <v>11903</v>
      </c>
      <c r="AF13" s="1">
        <v>11860</v>
      </c>
      <c r="AG13" s="1">
        <v>12447</v>
      </c>
      <c r="AH13" s="1">
        <v>13116</v>
      </c>
      <c r="AI13" s="1">
        <v>13556</v>
      </c>
      <c r="AJ13" s="1">
        <v>13808</v>
      </c>
      <c r="AK13" s="1">
        <v>15151</v>
      </c>
      <c r="AL13" s="1">
        <v>18572</v>
      </c>
      <c r="AM13" s="1"/>
      <c r="AN13" s="1"/>
      <c r="AO13" s="1"/>
      <c r="AP13" s="1"/>
      <c r="AR13" s="1">
        <f>SUM(C13:F13)</f>
        <v>16625</v>
      </c>
      <c r="AS13" s="1">
        <f>SUM(G13:J13)</f>
        <v>21419</v>
      </c>
      <c r="AT13" s="1">
        <f>SUM(K13:N13)</f>
        <v>26018</v>
      </c>
      <c r="AU13" s="1">
        <f>SUM(O13:R13)</f>
        <v>27573</v>
      </c>
      <c r="AV13" s="1">
        <f>SUM(S13:V13)</f>
        <v>31372</v>
      </c>
      <c r="AW13" s="1">
        <f>SUM(W13:Z13)</f>
        <v>39500</v>
      </c>
      <c r="AX13" s="1">
        <f>SUM(AA13:AD13)</f>
        <v>45427</v>
      </c>
      <c r="AY13" s="1">
        <f>SUM(AE13:AH13)</f>
        <v>49326</v>
      </c>
      <c r="AZ13" s="1">
        <f>SUM(AI13:AL13)</f>
        <v>61087</v>
      </c>
      <c r="BA13" s="1">
        <f>AZ13*1.09</f>
        <v>66584.83</v>
      </c>
      <c r="BB13" s="1">
        <f>BA13*1.04</f>
        <v>69248.223200000008</v>
      </c>
      <c r="BC13" s="1">
        <f t="shared" ref="BC13" si="28">BB13*1.03</f>
        <v>71325.669896000007</v>
      </c>
      <c r="BD13" s="1">
        <f>BC13*1.03</f>
        <v>73465.439992880012</v>
      </c>
      <c r="BE13" s="1">
        <f t="shared" ref="BE13:BF13" si="29">BD13*1.02</f>
        <v>74934.748792737621</v>
      </c>
      <c r="BF13" s="1">
        <f t="shared" si="29"/>
        <v>76433.443768592377</v>
      </c>
      <c r="BG13" s="1">
        <f t="shared" ref="BG13" si="30">BF13*1.02</f>
        <v>77962.112643964225</v>
      </c>
      <c r="BH13" s="1">
        <f t="shared" ref="BH13" si="31">BG13*1.02</f>
        <v>79521.354896843506</v>
      </c>
      <c r="BI13" s="1">
        <f t="shared" ref="BI13" si="32">BH13*1.02</f>
        <v>81111.78199478038</v>
      </c>
      <c r="BJ13" s="1">
        <f t="shared" ref="BJ13" si="33">BI13*1.02</f>
        <v>82734.017634675984</v>
      </c>
    </row>
    <row r="14" spans="2:62" x14ac:dyDescent="0.3">
      <c r="B14" t="s">
        <v>26</v>
      </c>
      <c r="C14" s="1">
        <v>2644</v>
      </c>
      <c r="D14" s="1">
        <v>2897</v>
      </c>
      <c r="E14" s="1">
        <v>3042</v>
      </c>
      <c r="F14" s="1">
        <v>4310</v>
      </c>
      <c r="G14" s="1">
        <v>3604</v>
      </c>
      <c r="H14" s="1">
        <v>3780</v>
      </c>
      <c r="I14" s="1">
        <v>3849</v>
      </c>
      <c r="J14" s="1">
        <v>5100</v>
      </c>
      <c r="K14" s="1">
        <v>3905</v>
      </c>
      <c r="L14" s="1">
        <v>4212</v>
      </c>
      <c r="M14" s="1">
        <v>4609</v>
      </c>
      <c r="N14" s="1">
        <v>5738</v>
      </c>
      <c r="O14" s="1">
        <v>4500</v>
      </c>
      <c r="P14" s="1">
        <v>3901</v>
      </c>
      <c r="Q14" s="1">
        <v>4231</v>
      </c>
      <c r="R14" s="1">
        <v>5314</v>
      </c>
      <c r="S14" s="1">
        <v>4516</v>
      </c>
      <c r="T14" s="1">
        <v>4516</v>
      </c>
      <c r="U14" s="1">
        <v>5516</v>
      </c>
      <c r="V14" s="1">
        <v>7604</v>
      </c>
      <c r="W14" s="1">
        <v>5825</v>
      </c>
      <c r="X14" s="1">
        <v>6630</v>
      </c>
      <c r="Y14" s="1">
        <v>6929</v>
      </c>
      <c r="Z14" s="1">
        <v>7183</v>
      </c>
      <c r="AA14" s="1">
        <v>6533</v>
      </c>
      <c r="AB14" s="1">
        <v>6781</v>
      </c>
      <c r="AC14" s="1">
        <v>6884</v>
      </c>
      <c r="AD14" s="1">
        <v>7719</v>
      </c>
      <c r="AE14" s="1">
        <v>6426</v>
      </c>
      <c r="AF14" s="1">
        <v>6792</v>
      </c>
      <c r="AG14" s="1">
        <v>7227</v>
      </c>
      <c r="AH14" s="1">
        <v>7363</v>
      </c>
      <c r="AI14" s="1">
        <v>6172</v>
      </c>
      <c r="AJ14" s="1">
        <v>7101</v>
      </c>
      <c r="AK14" s="1">
        <v>7205</v>
      </c>
      <c r="AL14" s="1">
        <v>8215</v>
      </c>
      <c r="AM14" s="1"/>
      <c r="AN14" s="1"/>
      <c r="AO14" s="1"/>
      <c r="AP14" s="1"/>
      <c r="AR14" s="1">
        <f>SUM(C14:F14)</f>
        <v>12893</v>
      </c>
      <c r="AS14" s="1">
        <f>SUM(G14:J14)</f>
        <v>16333</v>
      </c>
      <c r="AT14" s="1">
        <f>SUM(K14:N14)</f>
        <v>18464</v>
      </c>
      <c r="AU14" s="1">
        <f>SUM(O14:R14)</f>
        <v>17946</v>
      </c>
      <c r="AV14" s="1">
        <f>SUM(S14:V14)</f>
        <v>22152</v>
      </c>
      <c r="AW14" s="1">
        <f>SUM(W14:Z14)</f>
        <v>26567</v>
      </c>
      <c r="AX14" s="1">
        <f>SUM(AA14:AD14)</f>
        <v>27917</v>
      </c>
      <c r="AY14" s="1">
        <f>SUM(AE14:AH14)</f>
        <v>27808</v>
      </c>
      <c r="AZ14" s="1">
        <f>SUM(AI14:AL14)</f>
        <v>28693</v>
      </c>
      <c r="BA14" s="1">
        <f>BA10*0.07</f>
        <v>31112.022900000004</v>
      </c>
      <c r="BB14" s="1">
        <f t="shared" ref="BB14:BJ14" si="34">BB10*0.07</f>
        <v>33411.741356000006</v>
      </c>
      <c r="BC14" s="1">
        <f t="shared" si="34"/>
        <v>35123.917726240004</v>
      </c>
      <c r="BD14" s="1">
        <f t="shared" si="34"/>
        <v>36545.864217161608</v>
      </c>
      <c r="BE14" s="1">
        <f t="shared" si="34"/>
        <v>37655.864795327645</v>
      </c>
      <c r="BF14" s="1">
        <f t="shared" si="34"/>
        <v>38654.80631683932</v>
      </c>
      <c r="BG14" s="1">
        <f t="shared" si="34"/>
        <v>39535.986778516177</v>
      </c>
      <c r="BH14" s="1">
        <f t="shared" si="34"/>
        <v>40154.945216695705</v>
      </c>
      <c r="BI14" s="1">
        <f t="shared" si="34"/>
        <v>40785.847624134978</v>
      </c>
      <c r="BJ14" s="1">
        <f t="shared" si="34"/>
        <v>41428.972672583957</v>
      </c>
    </row>
    <row r="15" spans="2:62" x14ac:dyDescent="0.3">
      <c r="B15" t="s">
        <v>27</v>
      </c>
      <c r="C15" s="1">
        <v>1801</v>
      </c>
      <c r="D15" s="1">
        <v>1700</v>
      </c>
      <c r="E15" s="1">
        <v>1595</v>
      </c>
      <c r="F15" s="1">
        <v>1776</v>
      </c>
      <c r="G15" s="1">
        <v>1403</v>
      </c>
      <c r="H15" s="1">
        <v>1764</v>
      </c>
      <c r="I15" s="1">
        <v>1753</v>
      </c>
      <c r="J15" s="1">
        <v>2003</v>
      </c>
      <c r="K15" s="1">
        <f>2088+1697</f>
        <v>3785</v>
      </c>
      <c r="L15" s="1">
        <v>2043</v>
      </c>
      <c r="M15" s="1">
        <v>2591</v>
      </c>
      <c r="N15" s="1">
        <v>2829</v>
      </c>
      <c r="O15" s="1">
        <v>2880</v>
      </c>
      <c r="P15" s="1">
        <v>2585</v>
      </c>
      <c r="Q15" s="1">
        <v>2756</v>
      </c>
      <c r="R15" s="1">
        <v>2831</v>
      </c>
      <c r="S15" s="1">
        <v>2773</v>
      </c>
      <c r="T15" s="1">
        <v>2773</v>
      </c>
      <c r="U15" s="1">
        <v>3256</v>
      </c>
      <c r="V15" s="1">
        <v>4140</v>
      </c>
      <c r="W15" s="1">
        <v>3374</v>
      </c>
      <c r="X15" s="1">
        <v>3657</v>
      </c>
      <c r="Y15" s="1">
        <v>3597</v>
      </c>
      <c r="Z15" s="1">
        <v>5096</v>
      </c>
      <c r="AA15" s="1">
        <v>3759</v>
      </c>
      <c r="AB15" s="1">
        <v>3481</v>
      </c>
      <c r="AC15" s="1">
        <v>3979</v>
      </c>
      <c r="AD15" s="1">
        <v>5206</v>
      </c>
      <c r="AE15" s="1">
        <v>3026</v>
      </c>
      <c r="AF15" s="1">
        <v>3158</v>
      </c>
      <c r="AG15" s="1">
        <v>3599</v>
      </c>
      <c r="AH15" s="1">
        <v>4405</v>
      </c>
      <c r="AI15" s="1">
        <v>3539</v>
      </c>
      <c r="AJ15" s="1">
        <v>5209</v>
      </c>
      <c r="AK15" s="1">
        <v>7393</v>
      </c>
      <c r="AL15" s="1">
        <v>5341</v>
      </c>
      <c r="AM15" s="1"/>
      <c r="AN15" s="1"/>
      <c r="AO15" s="1"/>
      <c r="AP15" s="1"/>
      <c r="AR15" s="1">
        <f>SUM(C15:F15)</f>
        <v>6872</v>
      </c>
      <c r="AS15" s="1">
        <f>SUM(G15:J15)</f>
        <v>6923</v>
      </c>
      <c r="AT15" s="1">
        <f>SUM(H15:K15)</f>
        <v>9305</v>
      </c>
      <c r="AU15" s="1">
        <f>SUM(O15:R15)</f>
        <v>11052</v>
      </c>
      <c r="AV15" s="1">
        <f>SUM(S15:V15)</f>
        <v>12942</v>
      </c>
      <c r="AW15" s="1">
        <f>SUM(W15:Z15)</f>
        <v>15724</v>
      </c>
      <c r="AX15" s="1">
        <f>SUM(AA15:AD15)</f>
        <v>16425</v>
      </c>
      <c r="AY15" s="1">
        <f>SUM(AE15:AH15)</f>
        <v>14188</v>
      </c>
      <c r="AZ15" s="1">
        <f>SUM(AI15:AL15)</f>
        <v>21482</v>
      </c>
      <c r="BA15" s="1">
        <f>AZ15*1.15</f>
        <v>24704.3</v>
      </c>
      <c r="BB15" s="1">
        <f>BA15*1.07</f>
        <v>26433.601000000002</v>
      </c>
      <c r="BC15" s="1">
        <f>BB15*1.03</f>
        <v>27226.609030000003</v>
      </c>
      <c r="BD15" s="1">
        <f t="shared" ref="BD15:BF15" si="35">BC15*1.02</f>
        <v>27771.141210600003</v>
      </c>
      <c r="BE15" s="1">
        <f t="shared" si="35"/>
        <v>28326.564034812003</v>
      </c>
      <c r="BF15" s="1">
        <f t="shared" si="35"/>
        <v>28893.095315508242</v>
      </c>
      <c r="BG15" s="1">
        <f t="shared" ref="BG15" si="36">BF15*1.02</f>
        <v>29470.957221818408</v>
      </c>
      <c r="BH15" s="1">
        <f t="shared" ref="BH15" si="37">BG15*1.02</f>
        <v>30060.376366254775</v>
      </c>
      <c r="BI15" s="1">
        <f t="shared" ref="BI15" si="38">BH15*1.02</f>
        <v>30661.583893579871</v>
      </c>
      <c r="BJ15" s="1">
        <f t="shared" ref="BJ15" si="39">BI15*1.02</f>
        <v>31274.815571451469</v>
      </c>
    </row>
    <row r="16" spans="2:62" s="6" customFormat="1" x14ac:dyDescent="0.3">
      <c r="B16" s="6" t="s">
        <v>28</v>
      </c>
      <c r="C16" s="9">
        <f t="shared" ref="C16:P16" si="40">C12-C13-C14-C15</f>
        <v>6568</v>
      </c>
      <c r="D16" s="9">
        <f t="shared" si="40"/>
        <v>6868</v>
      </c>
      <c r="E16" s="9">
        <f t="shared" si="40"/>
        <v>7782</v>
      </c>
      <c r="F16" s="9">
        <f t="shared" si="40"/>
        <v>7573</v>
      </c>
      <c r="G16" s="9">
        <f t="shared" si="40"/>
        <v>7633</v>
      </c>
      <c r="H16" s="9">
        <f t="shared" si="40"/>
        <v>8116</v>
      </c>
      <c r="I16" s="9">
        <f t="shared" si="40"/>
        <v>8625</v>
      </c>
      <c r="J16" s="9">
        <f t="shared" si="40"/>
        <v>8221</v>
      </c>
      <c r="K16" s="9">
        <f t="shared" si="40"/>
        <v>6608</v>
      </c>
      <c r="L16" s="9">
        <f t="shared" si="40"/>
        <v>9180</v>
      </c>
      <c r="M16" s="9">
        <f t="shared" si="40"/>
        <v>9177</v>
      </c>
      <c r="N16" s="9">
        <f t="shared" si="40"/>
        <v>9266</v>
      </c>
      <c r="O16" s="9">
        <f t="shared" si="40"/>
        <v>7977</v>
      </c>
      <c r="P16" s="9">
        <f t="shared" si="40"/>
        <v>6383</v>
      </c>
      <c r="Q16" s="9">
        <f t="shared" ref="Q16" si="41">Q12-Q13-Q14-Q15</f>
        <v>11213</v>
      </c>
      <c r="R16" s="9">
        <f t="shared" ref="R16:V16" si="42">R12-R13-R14-R15</f>
        <v>15651</v>
      </c>
      <c r="S16" s="9">
        <f t="shared" si="42"/>
        <v>16437</v>
      </c>
      <c r="T16" s="9">
        <f t="shared" si="42"/>
        <v>16437</v>
      </c>
      <c r="U16" s="9">
        <f t="shared" ref="U16" si="43">U12-U13-U14-U15</f>
        <v>21031</v>
      </c>
      <c r="V16" s="9">
        <f t="shared" si="42"/>
        <v>21885</v>
      </c>
      <c r="W16" s="9">
        <f t="shared" ref="W16:X16" si="44">W12-W13-W14-W15</f>
        <v>20094</v>
      </c>
      <c r="X16" s="9">
        <f t="shared" si="44"/>
        <v>19453</v>
      </c>
      <c r="Y16" s="9">
        <f t="shared" ref="Y16" si="45">Y12-Y13-Y14-Y15</f>
        <v>17135</v>
      </c>
      <c r="Z16" s="9">
        <f t="shared" ref="Z16" si="46">Z12-Z13-Z14-Z15</f>
        <v>18160</v>
      </c>
      <c r="AA16" s="9">
        <f t="shared" ref="AA16:AB16" si="47">AA12-AA13-AA14-AA15</f>
        <v>17415</v>
      </c>
      <c r="AB16" s="9">
        <f t="shared" si="47"/>
        <v>21838</v>
      </c>
      <c r="AC16" s="9">
        <f t="shared" ref="AC16" si="48">AC12-AC13-AC14-AC15</f>
        <v>21343</v>
      </c>
      <c r="AD16" s="9">
        <f t="shared" ref="AD16" si="49">AD12-AD13-AD14-AD15</f>
        <v>23697</v>
      </c>
      <c r="AE16" s="9">
        <f t="shared" ref="AE16:AL16" si="50">AE12-AE13-AE14-AE15</f>
        <v>25472</v>
      </c>
      <c r="AF16" s="9">
        <f t="shared" si="50"/>
        <v>27425</v>
      </c>
      <c r="AG16" s="9">
        <f t="shared" si="50"/>
        <v>28521</v>
      </c>
      <c r="AH16" s="9">
        <f t="shared" si="50"/>
        <v>30972</v>
      </c>
      <c r="AI16" s="9">
        <f t="shared" si="50"/>
        <v>30606</v>
      </c>
      <c r="AJ16" s="9">
        <f t="shared" si="50"/>
        <v>31271</v>
      </c>
      <c r="AK16" s="9">
        <f t="shared" si="50"/>
        <v>31228</v>
      </c>
      <c r="AL16" s="9">
        <f t="shared" si="50"/>
        <v>35934</v>
      </c>
      <c r="AM16" s="9"/>
      <c r="AN16" s="9"/>
      <c r="AO16" s="9"/>
      <c r="AP16" s="9"/>
      <c r="AR16" s="9">
        <f>AR12-AR13-AR14-AR15</f>
        <v>28791</v>
      </c>
      <c r="AS16" s="9">
        <f>AS12-AS13-AS14-AS15</f>
        <v>32595</v>
      </c>
      <c r="AT16" s="9">
        <f>AT12-AT13-AT14-AT15</f>
        <v>36174</v>
      </c>
      <c r="AU16" s="9">
        <f>AU12-AU13-AU14-AU15</f>
        <v>41224</v>
      </c>
      <c r="AV16" s="9">
        <f t="shared" ref="AV16:BE16" si="51">AV12-AV13-AV14-AV15</f>
        <v>75790</v>
      </c>
      <c r="AW16" s="9">
        <f t="shared" si="51"/>
        <v>74842</v>
      </c>
      <c r="AX16" s="9">
        <f t="shared" si="51"/>
        <v>84293</v>
      </c>
      <c r="AY16" s="9">
        <f t="shared" si="51"/>
        <v>112390</v>
      </c>
      <c r="AZ16" s="9">
        <f t="shared" si="51"/>
        <v>129039</v>
      </c>
      <c r="BA16" s="9">
        <f t="shared" si="51"/>
        <v>144273.3291</v>
      </c>
      <c r="BB16" s="9">
        <f t="shared" si="51"/>
        <v>157292.78892400002</v>
      </c>
      <c r="BC16" s="9">
        <f t="shared" si="51"/>
        <v>167385.95528696</v>
      </c>
      <c r="BD16" s="9">
        <f t="shared" si="51"/>
        <v>175467.8192978864</v>
      </c>
      <c r="BE16" s="9">
        <f t="shared" si="51"/>
        <v>181847.37776564536</v>
      </c>
      <c r="BF16" s="9">
        <f t="shared" ref="BF16:BJ16" si="52">BF12-BF13-BF14-BF15</f>
        <v>187345.56588625422</v>
      </c>
      <c r="BG16" s="9">
        <f t="shared" si="52"/>
        <v>191910.83002869692</v>
      </c>
      <c r="BH16" s="9">
        <f t="shared" si="52"/>
        <v>194448.56823474055</v>
      </c>
      <c r="BI16" s="9">
        <f t="shared" si="52"/>
        <v>197033.76612294736</v>
      </c>
      <c r="BJ16" s="9">
        <f t="shared" si="52"/>
        <v>199667.67417200821</v>
      </c>
    </row>
    <row r="17" spans="2:197" x14ac:dyDescent="0.3">
      <c r="B17" t="s">
        <v>33</v>
      </c>
      <c r="C17" s="1">
        <v>-251</v>
      </c>
      <c r="D17" s="1">
        <v>-245</v>
      </c>
      <c r="E17" s="1">
        <v>-197</v>
      </c>
      <c r="F17" s="1">
        <v>-354</v>
      </c>
      <c r="G17" s="1">
        <v>-2910</v>
      </c>
      <c r="H17" s="1">
        <v>-1170</v>
      </c>
      <c r="I17" s="1">
        <v>-1458</v>
      </c>
      <c r="J17" s="1">
        <v>-1851</v>
      </c>
      <c r="K17" s="1">
        <v>-1538</v>
      </c>
      <c r="L17" s="1">
        <v>-2967</v>
      </c>
      <c r="M17" s="1">
        <v>549</v>
      </c>
      <c r="N17" s="1">
        <v>-1438</v>
      </c>
      <c r="O17" s="1">
        <v>220</v>
      </c>
      <c r="P17" s="1">
        <v>-1894</v>
      </c>
      <c r="Q17" s="1">
        <v>-2416</v>
      </c>
      <c r="R17" s="1">
        <v>-3038</v>
      </c>
      <c r="S17" s="1">
        <v>-4846</v>
      </c>
      <c r="T17" s="1">
        <v>-4846</v>
      </c>
      <c r="U17" s="1">
        <v>-2033</v>
      </c>
      <c r="V17" s="1">
        <v>-2517</v>
      </c>
      <c r="W17" s="1">
        <v>1160</v>
      </c>
      <c r="X17" s="1">
        <v>439</v>
      </c>
      <c r="Y17" s="1">
        <v>902</v>
      </c>
      <c r="Z17" s="1">
        <v>1013</v>
      </c>
      <c r="AA17" s="1">
        <v>-790</v>
      </c>
      <c r="AB17" s="1">
        <v>-65</v>
      </c>
      <c r="AC17" s="1">
        <v>146</v>
      </c>
      <c r="AD17" s="1">
        <v>-715</v>
      </c>
      <c r="AE17" s="1">
        <v>-2843</v>
      </c>
      <c r="AF17" s="1">
        <v>-126</v>
      </c>
      <c r="AG17" s="1">
        <v>-3185</v>
      </c>
      <c r="AH17" s="1">
        <v>-1271</v>
      </c>
      <c r="AI17" s="1">
        <v>-11183</v>
      </c>
      <c r="AJ17" s="1">
        <v>-2662</v>
      </c>
      <c r="AK17" s="1">
        <v>-12759</v>
      </c>
      <c r="AL17" s="1">
        <v>-3183</v>
      </c>
      <c r="AM17" s="1"/>
      <c r="AN17" s="1"/>
      <c r="AO17" s="1"/>
      <c r="AP17" s="1"/>
      <c r="AR17" s="1">
        <f>SUM(C17:F17)</f>
        <v>-1047</v>
      </c>
      <c r="AS17" s="1">
        <f>SUM(G17:J17)</f>
        <v>-7389</v>
      </c>
      <c r="AT17" s="1">
        <f>SUM(K17:N17)</f>
        <v>-5394</v>
      </c>
      <c r="AU17" s="1">
        <f>SUM(O17:R17)</f>
        <v>-7128</v>
      </c>
      <c r="AV17" s="1">
        <f>SUM(S17:V17)</f>
        <v>-14242</v>
      </c>
      <c r="AW17" s="1">
        <f>SUM(W17:Z17)</f>
        <v>3514</v>
      </c>
      <c r="AX17" s="1">
        <f>SUM(AA17:AD17)</f>
        <v>-1424</v>
      </c>
      <c r="AY17" s="1">
        <f>SUM(AE17:AH17)</f>
        <v>-7425</v>
      </c>
      <c r="AZ17" s="1">
        <f>SUM(AI17:AL17)</f>
        <v>-29787</v>
      </c>
      <c r="BA17" s="1">
        <f>AY17*1.01</f>
        <v>-7499.25</v>
      </c>
      <c r="BB17" s="1">
        <f t="shared" ref="BB17:BJ17" si="53">BA17*1.01</f>
        <v>-7574.2425000000003</v>
      </c>
      <c r="BC17" s="1">
        <f t="shared" si="53"/>
        <v>-7649.9849250000007</v>
      </c>
      <c r="BD17" s="1">
        <f t="shared" si="53"/>
        <v>-7726.4847742500006</v>
      </c>
      <c r="BE17" s="1">
        <f t="shared" si="53"/>
        <v>-7803.7496219925006</v>
      </c>
      <c r="BF17" s="1">
        <f t="shared" si="53"/>
        <v>-7881.7871182124254</v>
      </c>
      <c r="BG17" s="1">
        <f t="shared" si="53"/>
        <v>-7960.6049893945501</v>
      </c>
      <c r="BH17" s="1">
        <f t="shared" si="53"/>
        <v>-8040.2110392884961</v>
      </c>
      <c r="BI17" s="1">
        <f t="shared" si="53"/>
        <v>-8120.6131496813814</v>
      </c>
      <c r="BJ17" s="1">
        <f t="shared" si="53"/>
        <v>-8201.8192811781955</v>
      </c>
    </row>
    <row r="18" spans="2:197" s="6" customFormat="1" x14ac:dyDescent="0.3">
      <c r="B18" s="6" t="s">
        <v>29</v>
      </c>
      <c r="C18" s="9">
        <f t="shared" ref="C18:P18" si="54">C16-C17</f>
        <v>6819</v>
      </c>
      <c r="D18" s="9">
        <f t="shared" si="54"/>
        <v>7113</v>
      </c>
      <c r="E18" s="9">
        <f t="shared" si="54"/>
        <v>7979</v>
      </c>
      <c r="F18" s="9">
        <f t="shared" si="54"/>
        <v>7927</v>
      </c>
      <c r="G18" s="9">
        <f t="shared" si="54"/>
        <v>10543</v>
      </c>
      <c r="H18" s="9">
        <f t="shared" si="54"/>
        <v>9286</v>
      </c>
      <c r="I18" s="9">
        <f t="shared" si="54"/>
        <v>10083</v>
      </c>
      <c r="J18" s="9">
        <f t="shared" si="54"/>
        <v>10072</v>
      </c>
      <c r="K18" s="9">
        <f t="shared" si="54"/>
        <v>8146</v>
      </c>
      <c r="L18" s="9">
        <f t="shared" si="54"/>
        <v>12147</v>
      </c>
      <c r="M18" s="9">
        <f t="shared" si="54"/>
        <v>8628</v>
      </c>
      <c r="N18" s="9">
        <f t="shared" si="54"/>
        <v>10704</v>
      </c>
      <c r="O18" s="9">
        <f t="shared" si="54"/>
        <v>7757</v>
      </c>
      <c r="P18" s="9">
        <f t="shared" si="54"/>
        <v>8277</v>
      </c>
      <c r="Q18" s="9">
        <f t="shared" ref="Q18" si="55">Q16-Q17</f>
        <v>13629</v>
      </c>
      <c r="R18" s="9">
        <f t="shared" ref="R18:V18" si="56">R16-R17</f>
        <v>18689</v>
      </c>
      <c r="S18" s="9">
        <f t="shared" si="56"/>
        <v>21283</v>
      </c>
      <c r="T18" s="9">
        <f t="shared" si="56"/>
        <v>21283</v>
      </c>
      <c r="U18" s="9">
        <f t="shared" ref="U18" si="57">U16-U17</f>
        <v>23064</v>
      </c>
      <c r="V18" s="9">
        <f t="shared" si="56"/>
        <v>24402</v>
      </c>
      <c r="W18" s="9">
        <f t="shared" ref="W18:X18" si="58">W16-W17</f>
        <v>18934</v>
      </c>
      <c r="X18" s="9">
        <f t="shared" si="58"/>
        <v>19014</v>
      </c>
      <c r="Y18" s="9">
        <f t="shared" ref="Y18" si="59">Y16-Y17</f>
        <v>16233</v>
      </c>
      <c r="Z18" s="9">
        <f t="shared" ref="Z18" si="60">Z16-Z17</f>
        <v>17147</v>
      </c>
      <c r="AA18" s="9">
        <f t="shared" ref="AA18:AB18" si="61">AA16-AA17</f>
        <v>18205</v>
      </c>
      <c r="AB18" s="9">
        <f t="shared" si="61"/>
        <v>21903</v>
      </c>
      <c r="AC18" s="9">
        <f t="shared" ref="AC18" si="62">AC16-AC17</f>
        <v>21197</v>
      </c>
      <c r="AD18" s="9">
        <f t="shared" ref="AD18" si="63">AD16-AD17</f>
        <v>24412</v>
      </c>
      <c r="AE18" s="9">
        <f t="shared" ref="AE18:AL18" si="64">AE16-AE17</f>
        <v>28315</v>
      </c>
      <c r="AF18" s="9">
        <f t="shared" si="64"/>
        <v>27551</v>
      </c>
      <c r="AG18" s="9">
        <f t="shared" si="64"/>
        <v>31706</v>
      </c>
      <c r="AH18" s="9">
        <f t="shared" si="64"/>
        <v>32243</v>
      </c>
      <c r="AI18" s="9">
        <f t="shared" si="64"/>
        <v>41789</v>
      </c>
      <c r="AJ18" s="9">
        <f t="shared" si="64"/>
        <v>33933</v>
      </c>
      <c r="AK18" s="9">
        <f t="shared" si="64"/>
        <v>43987</v>
      </c>
      <c r="AL18" s="9">
        <f t="shared" si="64"/>
        <v>39117</v>
      </c>
      <c r="AM18" s="9"/>
      <c r="AN18" s="9"/>
      <c r="AO18" s="9"/>
      <c r="AP18" s="9"/>
      <c r="AR18" s="9">
        <f>AR16-AR17</f>
        <v>29838</v>
      </c>
      <c r="AS18" s="9">
        <f>AS16-AS17</f>
        <v>39984</v>
      </c>
      <c r="AT18" s="9">
        <f>AT16-AT17</f>
        <v>41568</v>
      </c>
      <c r="AU18" s="9">
        <f>AU16-AU17</f>
        <v>48352</v>
      </c>
      <c r="AV18" s="9">
        <f t="shared" ref="AV18:BE18" si="65">AV16-AV17</f>
        <v>90032</v>
      </c>
      <c r="AW18" s="9">
        <f t="shared" si="65"/>
        <v>71328</v>
      </c>
      <c r="AX18" s="9">
        <f t="shared" si="65"/>
        <v>85717</v>
      </c>
      <c r="AY18" s="9">
        <f t="shared" si="65"/>
        <v>119815</v>
      </c>
      <c r="AZ18" s="9">
        <f t="shared" si="65"/>
        <v>158826</v>
      </c>
      <c r="BA18" s="9">
        <f t="shared" si="65"/>
        <v>151772.5791</v>
      </c>
      <c r="BB18" s="9">
        <f t="shared" si="65"/>
        <v>164867.03142400002</v>
      </c>
      <c r="BC18" s="9">
        <f t="shared" si="65"/>
        <v>175035.94021196</v>
      </c>
      <c r="BD18" s="9">
        <f t="shared" si="65"/>
        <v>183194.30407213641</v>
      </c>
      <c r="BE18" s="9">
        <f t="shared" si="65"/>
        <v>189651.12738763785</v>
      </c>
      <c r="BF18" s="9">
        <f t="shared" ref="BF18:BJ18" si="66">BF16-BF17</f>
        <v>195227.35300446665</v>
      </c>
      <c r="BG18" s="9">
        <f t="shared" si="66"/>
        <v>199871.43501809146</v>
      </c>
      <c r="BH18" s="9">
        <f t="shared" si="66"/>
        <v>202488.77927402905</v>
      </c>
      <c r="BI18" s="9">
        <f t="shared" si="66"/>
        <v>205154.37927262875</v>
      </c>
      <c r="BJ18" s="9">
        <f t="shared" si="66"/>
        <v>207869.49345318641</v>
      </c>
    </row>
    <row r="19" spans="2:197" x14ac:dyDescent="0.3">
      <c r="B19" t="s">
        <v>30</v>
      </c>
      <c r="C19" s="1">
        <v>1393</v>
      </c>
      <c r="D19" s="1">
        <v>853</v>
      </c>
      <c r="E19" s="1">
        <v>1247</v>
      </c>
      <c r="F19" s="1">
        <f>838+10200</f>
        <v>11038</v>
      </c>
      <c r="G19" s="1">
        <v>1142</v>
      </c>
      <c r="H19" s="1">
        <v>1020</v>
      </c>
      <c r="I19" s="1">
        <v>891</v>
      </c>
      <c r="J19" s="1">
        <v>1124</v>
      </c>
      <c r="K19" s="1">
        <v>1489</v>
      </c>
      <c r="L19" s="1">
        <v>2200</v>
      </c>
      <c r="M19" s="1">
        <v>1560</v>
      </c>
      <c r="N19" s="1">
        <v>33</v>
      </c>
      <c r="O19" s="1">
        <v>921</v>
      </c>
      <c r="P19" s="1">
        <v>1318</v>
      </c>
      <c r="Q19" s="1">
        <v>2112</v>
      </c>
      <c r="R19" s="1">
        <v>3462</v>
      </c>
      <c r="S19" s="1">
        <v>3353</v>
      </c>
      <c r="T19" s="1">
        <v>3353</v>
      </c>
      <c r="U19" s="1">
        <v>4128</v>
      </c>
      <c r="V19" s="1">
        <v>3760</v>
      </c>
      <c r="W19" s="1">
        <v>2498</v>
      </c>
      <c r="X19" s="1">
        <v>3012</v>
      </c>
      <c r="Y19" s="1">
        <v>2323</v>
      </c>
      <c r="Z19" s="1">
        <v>3523</v>
      </c>
      <c r="AA19" s="1">
        <v>3154</v>
      </c>
      <c r="AB19" s="1">
        <v>3535</v>
      </c>
      <c r="AC19" s="1">
        <v>1508</v>
      </c>
      <c r="AD19" s="1">
        <v>3725</v>
      </c>
      <c r="AE19" s="1">
        <v>4653</v>
      </c>
      <c r="AF19" s="1">
        <v>3932</v>
      </c>
      <c r="AG19" s="1">
        <v>5405</v>
      </c>
      <c r="AH19" s="1">
        <v>5707</v>
      </c>
      <c r="AI19" s="1">
        <v>7249</v>
      </c>
      <c r="AJ19" s="1">
        <v>5737</v>
      </c>
      <c r="AK19" s="1">
        <v>9008</v>
      </c>
      <c r="AL19" s="1">
        <v>4662</v>
      </c>
      <c r="AM19" s="1"/>
      <c r="AN19" s="1"/>
      <c r="AO19" s="1"/>
      <c r="AP19" s="1"/>
      <c r="AR19" s="1">
        <f>SUM(C19:F19)-10200</f>
        <v>4331</v>
      </c>
      <c r="AS19" s="1">
        <f>SUM(G19:J19)</f>
        <v>4177</v>
      </c>
      <c r="AT19" s="1">
        <f>SUM(K19:N19)</f>
        <v>5282</v>
      </c>
      <c r="AU19" s="1">
        <f>SUM(O19:R19)</f>
        <v>7813</v>
      </c>
      <c r="AV19" s="1">
        <f>SUM(S19:V19)</f>
        <v>14594</v>
      </c>
      <c r="AW19" s="1">
        <f>SUM(W19:Z19)</f>
        <v>11356</v>
      </c>
      <c r="AX19" s="1">
        <f>SUM(AA19:AD19)</f>
        <v>11922</v>
      </c>
      <c r="AY19" s="1">
        <f>SUM(AE19:AH19)</f>
        <v>19697</v>
      </c>
      <c r="AZ19" s="1">
        <f>SUM(AI19:AL19)</f>
        <v>26656</v>
      </c>
      <c r="BA19" s="1">
        <f t="shared" ref="BA19:BE19" si="67">BA18*0.16</f>
        <v>24283.612656000001</v>
      </c>
      <c r="BB19" s="1">
        <f t="shared" si="67"/>
        <v>26378.725027840002</v>
      </c>
      <c r="BC19" s="1">
        <f t="shared" si="67"/>
        <v>28005.750433913599</v>
      </c>
      <c r="BD19" s="1">
        <f t="shared" si="67"/>
        <v>29311.088651541824</v>
      </c>
      <c r="BE19" s="1">
        <f t="shared" si="67"/>
        <v>30344.180382022056</v>
      </c>
      <c r="BF19" s="1">
        <f t="shared" ref="BF19:BJ19" si="68">BF18*0.16</f>
        <v>31236.376480714665</v>
      </c>
      <c r="BG19" s="1">
        <f t="shared" si="68"/>
        <v>31979.429602894634</v>
      </c>
      <c r="BH19" s="1">
        <f t="shared" si="68"/>
        <v>32398.204683844648</v>
      </c>
      <c r="BI19" s="1">
        <f t="shared" si="68"/>
        <v>32824.700683620598</v>
      </c>
      <c r="BJ19" s="1">
        <f t="shared" si="68"/>
        <v>33259.118952509823</v>
      </c>
    </row>
    <row r="20" spans="2:197" s="6" customFormat="1" x14ac:dyDescent="0.3">
      <c r="B20" s="6" t="s">
        <v>31</v>
      </c>
      <c r="C20" s="9">
        <f t="shared" ref="C20:P20" si="69">C18-C19</f>
        <v>5426</v>
      </c>
      <c r="D20" s="9">
        <f t="shared" si="69"/>
        <v>6260</v>
      </c>
      <c r="E20" s="9">
        <f t="shared" si="69"/>
        <v>6732</v>
      </c>
      <c r="F20" s="9">
        <f t="shared" si="69"/>
        <v>-3111</v>
      </c>
      <c r="G20" s="9">
        <f t="shared" si="69"/>
        <v>9401</v>
      </c>
      <c r="H20" s="9">
        <f t="shared" si="69"/>
        <v>8266</v>
      </c>
      <c r="I20" s="9">
        <f t="shared" si="69"/>
        <v>9192</v>
      </c>
      <c r="J20" s="9">
        <f t="shared" si="69"/>
        <v>8948</v>
      </c>
      <c r="K20" s="9">
        <f t="shared" si="69"/>
        <v>6657</v>
      </c>
      <c r="L20" s="9">
        <f t="shared" si="69"/>
        <v>9947</v>
      </c>
      <c r="M20" s="9">
        <f t="shared" si="69"/>
        <v>7068</v>
      </c>
      <c r="N20" s="9">
        <f t="shared" si="69"/>
        <v>10671</v>
      </c>
      <c r="O20" s="9">
        <f t="shared" si="69"/>
        <v>6836</v>
      </c>
      <c r="P20" s="9">
        <f t="shared" si="69"/>
        <v>6959</v>
      </c>
      <c r="Q20" s="9">
        <f t="shared" ref="Q20" si="70">Q18-Q19</f>
        <v>11517</v>
      </c>
      <c r="R20" s="9">
        <f t="shared" ref="R20:V20" si="71">R18-R19</f>
        <v>15227</v>
      </c>
      <c r="S20" s="9">
        <f t="shared" si="71"/>
        <v>17930</v>
      </c>
      <c r="T20" s="9">
        <f t="shared" si="71"/>
        <v>17930</v>
      </c>
      <c r="U20" s="9">
        <f t="shared" ref="U20" si="72">U18-U19</f>
        <v>18936</v>
      </c>
      <c r="V20" s="9">
        <f t="shared" si="71"/>
        <v>20642</v>
      </c>
      <c r="W20" s="9">
        <f t="shared" ref="W20:X20" si="73">W18-W19</f>
        <v>16436</v>
      </c>
      <c r="X20" s="9">
        <f t="shared" si="73"/>
        <v>16002</v>
      </c>
      <c r="Y20" s="9">
        <f t="shared" ref="Y20" si="74">Y18-Y19</f>
        <v>13910</v>
      </c>
      <c r="Z20" s="9">
        <f t="shared" ref="Z20" si="75">Z18-Z19</f>
        <v>13624</v>
      </c>
      <c r="AA20" s="9">
        <f t="shared" ref="AA20:AB20" si="76">AA18-AA19</f>
        <v>15051</v>
      </c>
      <c r="AB20" s="9">
        <f t="shared" si="76"/>
        <v>18368</v>
      </c>
      <c r="AC20" s="9">
        <f t="shared" ref="AC20" si="77">AC18-AC19</f>
        <v>19689</v>
      </c>
      <c r="AD20" s="9">
        <f t="shared" ref="AD20" si="78">AD18-AD19</f>
        <v>20687</v>
      </c>
      <c r="AE20" s="9">
        <f t="shared" ref="AE20:AH20" si="79">AE18-AE19</f>
        <v>23662</v>
      </c>
      <c r="AF20" s="9">
        <f t="shared" si="79"/>
        <v>23619</v>
      </c>
      <c r="AG20" s="9">
        <f t="shared" si="79"/>
        <v>26301</v>
      </c>
      <c r="AH20" s="9">
        <f t="shared" si="79"/>
        <v>26536</v>
      </c>
      <c r="AI20" s="9">
        <f t="shared" ref="AI20:AL20" si="80">AI18-AI19</f>
        <v>34540</v>
      </c>
      <c r="AJ20" s="9">
        <f t="shared" si="80"/>
        <v>28196</v>
      </c>
      <c r="AK20" s="9">
        <f t="shared" si="80"/>
        <v>34979</v>
      </c>
      <c r="AL20" s="9">
        <f t="shared" si="80"/>
        <v>34455</v>
      </c>
      <c r="AM20" s="9"/>
      <c r="AN20" s="9"/>
      <c r="AO20" s="9"/>
      <c r="AP20" s="9"/>
      <c r="AR20" s="9">
        <f>AR18-AR19</f>
        <v>25507</v>
      </c>
      <c r="AS20" s="9">
        <f>AS18-AS19</f>
        <v>35807</v>
      </c>
      <c r="AT20" s="9">
        <f>AT18-AT19</f>
        <v>36286</v>
      </c>
      <c r="AU20" s="9">
        <f>AU18-AU19</f>
        <v>40539</v>
      </c>
      <c r="AV20" s="9">
        <f t="shared" ref="AV20:BE20" si="81">AV18-AV19</f>
        <v>75438</v>
      </c>
      <c r="AW20" s="9">
        <f t="shared" si="81"/>
        <v>59972</v>
      </c>
      <c r="AX20" s="9">
        <f t="shared" si="81"/>
        <v>73795</v>
      </c>
      <c r="AY20" s="9">
        <f t="shared" si="81"/>
        <v>100118</v>
      </c>
      <c r="AZ20" s="9">
        <f t="shared" si="81"/>
        <v>132170</v>
      </c>
      <c r="BA20" s="9">
        <f t="shared" si="81"/>
        <v>127488.96644400001</v>
      </c>
      <c r="BB20" s="9">
        <f t="shared" si="81"/>
        <v>138488.30639616001</v>
      </c>
      <c r="BC20" s="9">
        <f t="shared" si="81"/>
        <v>147030.18977804639</v>
      </c>
      <c r="BD20" s="9">
        <f t="shared" si="81"/>
        <v>153883.21542059458</v>
      </c>
      <c r="BE20" s="9">
        <f t="shared" si="81"/>
        <v>159306.9470056158</v>
      </c>
      <c r="BF20" s="9">
        <f t="shared" ref="BF20:BJ20" si="82">BF18-BF19</f>
        <v>163990.97652375198</v>
      </c>
      <c r="BG20" s="9">
        <f t="shared" si="82"/>
        <v>167892.00541519682</v>
      </c>
      <c r="BH20" s="9">
        <f t="shared" si="82"/>
        <v>170090.57459018441</v>
      </c>
      <c r="BI20" s="9">
        <f t="shared" si="82"/>
        <v>172329.67858900817</v>
      </c>
      <c r="BJ20" s="9">
        <f t="shared" si="82"/>
        <v>174610.37450067658</v>
      </c>
      <c r="BK20" s="6">
        <f>BJ20*(1+$BM$32)</f>
        <v>172864.2707556698</v>
      </c>
      <c r="BL20" s="6">
        <f t="shared" ref="BL20:DW20" si="83">BK20*(1+$BM$32)</f>
        <v>171135.62804811311</v>
      </c>
      <c r="BM20" s="6">
        <f t="shared" si="83"/>
        <v>169424.27176763199</v>
      </c>
      <c r="BN20" s="6">
        <f t="shared" si="83"/>
        <v>167730.02904995566</v>
      </c>
      <c r="BO20" s="6">
        <f t="shared" si="83"/>
        <v>166052.72875945611</v>
      </c>
      <c r="BP20" s="6">
        <f t="shared" si="83"/>
        <v>164392.20147186154</v>
      </c>
      <c r="BQ20" s="6">
        <f t="shared" si="83"/>
        <v>162748.27945714293</v>
      </c>
      <c r="BR20" s="6">
        <f t="shared" si="83"/>
        <v>161120.79666257149</v>
      </c>
      <c r="BS20" s="6">
        <f t="shared" si="83"/>
        <v>159509.58869594577</v>
      </c>
      <c r="BT20" s="6">
        <f t="shared" si="83"/>
        <v>157914.49280898631</v>
      </c>
      <c r="BU20" s="6">
        <f t="shared" si="83"/>
        <v>156335.34788089644</v>
      </c>
      <c r="BV20" s="6">
        <f t="shared" si="83"/>
        <v>154771.99440208747</v>
      </c>
      <c r="BW20" s="6">
        <f t="shared" si="83"/>
        <v>153224.27445806659</v>
      </c>
      <c r="BX20" s="6">
        <f t="shared" si="83"/>
        <v>151692.03171348592</v>
      </c>
      <c r="BY20" s="6">
        <f t="shared" si="83"/>
        <v>150175.11139635107</v>
      </c>
      <c r="BZ20" s="6">
        <f t="shared" si="83"/>
        <v>148673.36028238756</v>
      </c>
      <c r="CA20" s="6">
        <f t="shared" si="83"/>
        <v>147186.62667956369</v>
      </c>
      <c r="CB20" s="6">
        <f t="shared" si="83"/>
        <v>145714.76041276805</v>
      </c>
      <c r="CC20" s="6">
        <f t="shared" si="83"/>
        <v>144257.61280864038</v>
      </c>
      <c r="CD20" s="6">
        <f t="shared" si="83"/>
        <v>142815.03668055398</v>
      </c>
      <c r="CE20" s="6">
        <f t="shared" si="83"/>
        <v>141386.88631374843</v>
      </c>
      <c r="CF20" s="6">
        <f t="shared" si="83"/>
        <v>139973.01745061093</v>
      </c>
      <c r="CG20" s="6">
        <f t="shared" si="83"/>
        <v>138573.28727610482</v>
      </c>
      <c r="CH20" s="6">
        <f t="shared" si="83"/>
        <v>137187.55440334376</v>
      </c>
      <c r="CI20" s="6">
        <f t="shared" si="83"/>
        <v>135815.67885931031</v>
      </c>
      <c r="CJ20" s="6">
        <f t="shared" si="83"/>
        <v>134457.52207071721</v>
      </c>
      <c r="CK20" s="6">
        <f t="shared" si="83"/>
        <v>133112.94685001005</v>
      </c>
      <c r="CL20" s="6">
        <f t="shared" si="83"/>
        <v>131781.81738150996</v>
      </c>
      <c r="CM20" s="6">
        <f t="shared" si="83"/>
        <v>130463.99920769485</v>
      </c>
      <c r="CN20" s="6">
        <f t="shared" si="83"/>
        <v>129159.35921561791</v>
      </c>
      <c r="CO20" s="6">
        <f t="shared" si="83"/>
        <v>127867.76562346173</v>
      </c>
      <c r="CP20" s="6">
        <f t="shared" si="83"/>
        <v>126589.08796722711</v>
      </c>
      <c r="CQ20" s="6">
        <f t="shared" si="83"/>
        <v>125323.19708755484</v>
      </c>
      <c r="CR20" s="6">
        <f t="shared" si="83"/>
        <v>124069.96511667929</v>
      </c>
      <c r="CS20" s="6">
        <f t="shared" si="83"/>
        <v>122829.26546551249</v>
      </c>
      <c r="CT20" s="6">
        <f t="shared" si="83"/>
        <v>121600.97281085736</v>
      </c>
      <c r="CU20" s="6">
        <f t="shared" si="83"/>
        <v>120384.96308274879</v>
      </c>
      <c r="CV20" s="6">
        <f t="shared" si="83"/>
        <v>119181.11345192129</v>
      </c>
      <c r="CW20" s="6">
        <f t="shared" si="83"/>
        <v>117989.30231740208</v>
      </c>
      <c r="CX20" s="6">
        <f t="shared" si="83"/>
        <v>116809.40929422805</v>
      </c>
      <c r="CY20" s="6">
        <f t="shared" si="83"/>
        <v>115641.31520128578</v>
      </c>
      <c r="CZ20" s="6">
        <f t="shared" si="83"/>
        <v>114484.90204927292</v>
      </c>
      <c r="DA20" s="6">
        <f t="shared" si="83"/>
        <v>113340.05302878018</v>
      </c>
      <c r="DB20" s="6">
        <f t="shared" si="83"/>
        <v>112206.65249849237</v>
      </c>
      <c r="DC20" s="6">
        <f t="shared" si="83"/>
        <v>111084.58597350745</v>
      </c>
      <c r="DD20" s="6">
        <f t="shared" si="83"/>
        <v>109973.74011377238</v>
      </c>
      <c r="DE20" s="6">
        <f t="shared" si="83"/>
        <v>108874.00271263465</v>
      </c>
      <c r="DF20" s="6">
        <f t="shared" si="83"/>
        <v>107785.26268550831</v>
      </c>
      <c r="DG20" s="6">
        <f t="shared" si="83"/>
        <v>106707.41005865323</v>
      </c>
      <c r="DH20" s="6">
        <f t="shared" si="83"/>
        <v>105640.3359580667</v>
      </c>
      <c r="DI20" s="6">
        <f t="shared" si="83"/>
        <v>104583.93259848603</v>
      </c>
      <c r="DJ20" s="6">
        <f t="shared" si="83"/>
        <v>103538.09327250117</v>
      </c>
      <c r="DK20" s="6">
        <f t="shared" si="83"/>
        <v>102502.71233977616</v>
      </c>
      <c r="DL20" s="6">
        <f t="shared" si="83"/>
        <v>101477.68521637839</v>
      </c>
      <c r="DM20" s="6">
        <f t="shared" si="83"/>
        <v>100462.9083642146</v>
      </c>
      <c r="DN20" s="6">
        <f t="shared" si="83"/>
        <v>99458.279280572446</v>
      </c>
      <c r="DO20" s="6">
        <f t="shared" si="83"/>
        <v>98463.69648776672</v>
      </c>
      <c r="DP20" s="6">
        <f t="shared" si="83"/>
        <v>97479.059522889045</v>
      </c>
      <c r="DQ20" s="6">
        <f t="shared" si="83"/>
        <v>96504.26892766016</v>
      </c>
      <c r="DR20" s="6">
        <f t="shared" si="83"/>
        <v>95539.226238383562</v>
      </c>
      <c r="DS20" s="6">
        <f t="shared" si="83"/>
        <v>94583.833975999733</v>
      </c>
      <c r="DT20" s="6">
        <f t="shared" si="83"/>
        <v>93637.995636239735</v>
      </c>
      <c r="DU20" s="6">
        <f t="shared" si="83"/>
        <v>92701.61567987733</v>
      </c>
      <c r="DV20" s="6">
        <f t="shared" si="83"/>
        <v>91774.599523078563</v>
      </c>
      <c r="DW20" s="6">
        <f t="shared" si="83"/>
        <v>90856.853527847779</v>
      </c>
      <c r="DX20" s="6">
        <f t="shared" ref="DX20:GI20" si="84">DW20*(1+$BM$32)</f>
        <v>89948.284992569301</v>
      </c>
      <c r="DY20" s="6">
        <f t="shared" si="84"/>
        <v>89048.802142643603</v>
      </c>
      <c r="DZ20" s="6">
        <f t="shared" si="84"/>
        <v>88158.314121217161</v>
      </c>
      <c r="EA20" s="6">
        <f t="shared" si="84"/>
        <v>87276.730980004984</v>
      </c>
      <c r="EB20" s="6">
        <f t="shared" si="84"/>
        <v>86403.963670204932</v>
      </c>
      <c r="EC20" s="6">
        <f t="shared" si="84"/>
        <v>85539.924033502888</v>
      </c>
      <c r="ED20" s="6">
        <f t="shared" si="84"/>
        <v>84684.52479316786</v>
      </c>
      <c r="EE20" s="6">
        <f t="shared" si="84"/>
        <v>83837.679545236184</v>
      </c>
      <c r="EF20" s="6">
        <f t="shared" si="84"/>
        <v>82999.302749783819</v>
      </c>
      <c r="EG20" s="6">
        <f t="shared" si="84"/>
        <v>82169.30972228598</v>
      </c>
      <c r="EH20" s="6">
        <f t="shared" si="84"/>
        <v>81347.616625063121</v>
      </c>
      <c r="EI20" s="6">
        <f t="shared" si="84"/>
        <v>80534.140458812486</v>
      </c>
      <c r="EJ20" s="6">
        <f t="shared" si="84"/>
        <v>79728.799054224364</v>
      </c>
      <c r="EK20" s="6">
        <f t="shared" si="84"/>
        <v>78931.511063682119</v>
      </c>
      <c r="EL20" s="6">
        <f t="shared" si="84"/>
        <v>78142.195953045302</v>
      </c>
      <c r="EM20" s="6">
        <f t="shared" si="84"/>
        <v>77360.773993514842</v>
      </c>
      <c r="EN20" s="6">
        <f t="shared" si="84"/>
        <v>76587.166253579693</v>
      </c>
      <c r="EO20" s="6">
        <f t="shared" si="84"/>
        <v>75821.294591043901</v>
      </c>
      <c r="EP20" s="6">
        <f t="shared" si="84"/>
        <v>75063.081645133469</v>
      </c>
      <c r="EQ20" s="6">
        <f t="shared" si="84"/>
        <v>74312.450828682136</v>
      </c>
      <c r="ER20" s="6">
        <f t="shared" si="84"/>
        <v>73569.32632039531</v>
      </c>
      <c r="ES20" s="6">
        <f t="shared" si="84"/>
        <v>72833.633057191357</v>
      </c>
      <c r="ET20" s="6">
        <f t="shared" si="84"/>
        <v>72105.296726619446</v>
      </c>
      <c r="EU20" s="6">
        <f t="shared" si="84"/>
        <v>71384.243759353252</v>
      </c>
      <c r="EV20" s="6">
        <f t="shared" si="84"/>
        <v>70670.401321759724</v>
      </c>
      <c r="EW20" s="6">
        <f t="shared" si="84"/>
        <v>69963.69730854212</v>
      </c>
      <c r="EX20" s="6">
        <f t="shared" si="84"/>
        <v>69264.060335456699</v>
      </c>
      <c r="EY20" s="6">
        <f t="shared" si="84"/>
        <v>68571.419732102135</v>
      </c>
      <c r="EZ20" s="6">
        <f t="shared" si="84"/>
        <v>67885.705534781111</v>
      </c>
      <c r="FA20" s="6">
        <f t="shared" si="84"/>
        <v>67206.848479433305</v>
      </c>
      <c r="FB20" s="6">
        <f t="shared" si="84"/>
        <v>66534.779994638971</v>
      </c>
      <c r="FC20" s="6">
        <f t="shared" si="84"/>
        <v>65869.432194692577</v>
      </c>
      <c r="FD20" s="6">
        <f t="shared" si="84"/>
        <v>65210.737872745653</v>
      </c>
      <c r="FE20" s="6">
        <f t="shared" si="84"/>
        <v>64558.630494018194</v>
      </c>
      <c r="FF20" s="6">
        <f t="shared" si="84"/>
        <v>63913.044189078013</v>
      </c>
      <c r="FG20" s="6">
        <f t="shared" si="84"/>
        <v>63273.913747187231</v>
      </c>
      <c r="FH20" s="6">
        <f t="shared" si="84"/>
        <v>62641.174609715359</v>
      </c>
      <c r="FI20" s="6">
        <f t="shared" si="84"/>
        <v>62014.762863618205</v>
      </c>
      <c r="FJ20" s="6">
        <f t="shared" si="84"/>
        <v>61394.615234982026</v>
      </c>
      <c r="FK20" s="6">
        <f t="shared" si="84"/>
        <v>60780.669082632208</v>
      </c>
      <c r="FL20" s="6">
        <f t="shared" si="84"/>
        <v>60172.862391805887</v>
      </c>
      <c r="FM20" s="6">
        <f t="shared" si="84"/>
        <v>59571.133767887826</v>
      </c>
      <c r="FN20" s="6">
        <f t="shared" si="84"/>
        <v>58975.42243020895</v>
      </c>
      <c r="FO20" s="6">
        <f t="shared" si="84"/>
        <v>58385.668205906863</v>
      </c>
      <c r="FP20" s="6">
        <f t="shared" si="84"/>
        <v>57801.811523847791</v>
      </c>
      <c r="FQ20" s="6">
        <f t="shared" si="84"/>
        <v>57223.793408609316</v>
      </c>
      <c r="FR20" s="6">
        <f t="shared" si="84"/>
        <v>56651.555474523222</v>
      </c>
      <c r="FS20" s="6">
        <f t="shared" si="84"/>
        <v>56085.039919777992</v>
      </c>
      <c r="FT20" s="6">
        <f t="shared" si="84"/>
        <v>55524.189520580214</v>
      </c>
      <c r="FU20" s="6">
        <f t="shared" si="84"/>
        <v>54968.947625374414</v>
      </c>
      <c r="FV20" s="6">
        <f t="shared" si="84"/>
        <v>54419.258149120673</v>
      </c>
      <c r="FW20" s="6">
        <f t="shared" si="84"/>
        <v>53875.065567629463</v>
      </c>
      <c r="FX20" s="6">
        <f t="shared" si="84"/>
        <v>53336.314911953166</v>
      </c>
      <c r="FY20" s="6">
        <f t="shared" si="84"/>
        <v>52802.951762833633</v>
      </c>
      <c r="FZ20" s="6">
        <f t="shared" si="84"/>
        <v>52274.922245205293</v>
      </c>
      <c r="GA20" s="6">
        <f t="shared" si="84"/>
        <v>51752.173022753239</v>
      </c>
      <c r="GB20" s="6">
        <f t="shared" si="84"/>
        <v>51234.651292525705</v>
      </c>
      <c r="GC20" s="6">
        <f t="shared" si="84"/>
        <v>50722.304779600447</v>
      </c>
      <c r="GD20" s="6">
        <f t="shared" si="84"/>
        <v>50215.081731804443</v>
      </c>
      <c r="GE20" s="6">
        <f t="shared" si="84"/>
        <v>49712.930914486395</v>
      </c>
      <c r="GF20" s="6">
        <f t="shared" si="84"/>
        <v>49215.801605341527</v>
      </c>
      <c r="GG20" s="6">
        <f t="shared" si="84"/>
        <v>48723.643589288113</v>
      </c>
      <c r="GH20" s="6">
        <f t="shared" si="84"/>
        <v>48236.40715339523</v>
      </c>
      <c r="GI20" s="6">
        <f t="shared" si="84"/>
        <v>47754.04308186128</v>
      </c>
      <c r="GJ20" s="6">
        <f t="shared" ref="GJ20:GO20" si="85">GI20*(1+$BM$32)</f>
        <v>47276.502651042669</v>
      </c>
      <c r="GK20" s="6">
        <f t="shared" si="85"/>
        <v>46803.737624532245</v>
      </c>
      <c r="GL20" s="6">
        <f t="shared" si="85"/>
        <v>46335.700248286921</v>
      </c>
      <c r="GM20" s="6">
        <f t="shared" si="85"/>
        <v>45872.343245804048</v>
      </c>
      <c r="GN20" s="6">
        <f t="shared" si="85"/>
        <v>45413.619813346006</v>
      </c>
      <c r="GO20" s="6">
        <f t="shared" si="85"/>
        <v>44959.483615212543</v>
      </c>
    </row>
    <row r="21" spans="2:197" x14ac:dyDescent="0.3">
      <c r="B21" t="s">
        <v>2</v>
      </c>
      <c r="C21" s="1">
        <v>680</v>
      </c>
      <c r="D21" s="1">
        <v>680</v>
      </c>
      <c r="E21" s="1">
        <v>680</v>
      </c>
      <c r="F21" s="1">
        <v>680</v>
      </c>
      <c r="G21" s="1">
        <v>680</v>
      </c>
      <c r="H21" s="1">
        <v>680</v>
      </c>
      <c r="I21" s="1">
        <v>680</v>
      </c>
      <c r="J21" s="1">
        <v>680</v>
      </c>
      <c r="K21" s="1">
        <v>680</v>
      </c>
      <c r="L21" s="1">
        <v>680</v>
      </c>
      <c r="M21" s="1">
        <v>680</v>
      </c>
      <c r="N21" s="1">
        <v>680</v>
      </c>
      <c r="O21" s="1">
        <v>680</v>
      </c>
      <c r="P21" s="1">
        <v>680</v>
      </c>
      <c r="Q21" s="1">
        <v>676</v>
      </c>
      <c r="R21" s="1">
        <v>688</v>
      </c>
      <c r="S21" s="1">
        <v>688</v>
      </c>
      <c r="T21" s="1">
        <v>13253</v>
      </c>
      <c r="U21" s="1">
        <v>13253</v>
      </c>
      <c r="V21" s="1">
        <v>13253</v>
      </c>
      <c r="W21" s="1">
        <v>12897</v>
      </c>
      <c r="X21" s="1">
        <v>12897</v>
      </c>
      <c r="Y21" s="1">
        <v>12897</v>
      </c>
      <c r="Z21" s="1">
        <v>12897</v>
      </c>
      <c r="AA21" s="1">
        <v>12897</v>
      </c>
      <c r="AB21" s="1">
        <v>12897</v>
      </c>
      <c r="AC21" s="1">
        <v>12897</v>
      </c>
      <c r="AD21" s="1">
        <v>12488</v>
      </c>
      <c r="AE21" s="1">
        <v>12488</v>
      </c>
      <c r="AF21" s="1">
        <f>5859+866+5585</f>
        <v>12310</v>
      </c>
      <c r="AG21" s="1">
        <f>5843+864+5534</f>
        <v>12241</v>
      </c>
      <c r="AH21" s="1">
        <f>5833+860+5497</f>
        <v>12190</v>
      </c>
      <c r="AI21" s="1">
        <f t="shared" ref="AI21" si="86">5833+860+5497</f>
        <v>12190</v>
      </c>
      <c r="AJ21" s="1">
        <f>12122</f>
        <v>12122</v>
      </c>
      <c r="AK21" s="1">
        <v>12086</v>
      </c>
      <c r="AL21" s="1">
        <f>5822+837+5438</f>
        <v>12097</v>
      </c>
      <c r="AM21" s="1"/>
      <c r="AN21" s="1"/>
      <c r="AO21" s="1"/>
      <c r="AP21" s="1"/>
      <c r="AR21" s="1">
        <v>680</v>
      </c>
      <c r="AS21" s="1">
        <v>680</v>
      </c>
      <c r="AT21" s="1">
        <v>680</v>
      </c>
      <c r="AU21" s="1">
        <v>676</v>
      </c>
      <c r="AV21" s="1">
        <v>688</v>
      </c>
      <c r="AW21" s="1">
        <v>12897</v>
      </c>
      <c r="AX21" s="1">
        <v>12488</v>
      </c>
      <c r="AY21" s="1">
        <f t="shared" ref="AY21" si="87">5833+860+5497</f>
        <v>12190</v>
      </c>
      <c r="AZ21" s="1">
        <f>5822+837+5438</f>
        <v>12097</v>
      </c>
      <c r="BA21" s="1">
        <f>5822+837+5438</f>
        <v>12097</v>
      </c>
      <c r="BB21" s="1">
        <f>5822+837+5438</f>
        <v>12097</v>
      </c>
      <c r="BC21" s="1">
        <f>5822+837+5438</f>
        <v>12097</v>
      </c>
      <c r="BD21" s="1">
        <f>5822+837+5438</f>
        <v>12097</v>
      </c>
      <c r="BE21" s="1">
        <f>5822+837+5438</f>
        <v>12097</v>
      </c>
      <c r="BF21" s="1">
        <f>5822+837+5438</f>
        <v>12097</v>
      </c>
      <c r="BG21" s="1">
        <f>5822+837+5438</f>
        <v>12097</v>
      </c>
      <c r="BH21" s="1">
        <f>5822+837+5438</f>
        <v>12097</v>
      </c>
      <c r="BI21" s="1">
        <f>5822+837+5438</f>
        <v>12097</v>
      </c>
      <c r="BJ21" s="1">
        <f>5822+837+5438</f>
        <v>12097</v>
      </c>
    </row>
    <row r="22" spans="2:197" s="6" customFormat="1" x14ac:dyDescent="0.3">
      <c r="B22" s="6" t="s">
        <v>32</v>
      </c>
      <c r="C22" s="7">
        <f t="shared" ref="C22:P22" si="88">C20/C21</f>
        <v>7.9794117647058824</v>
      </c>
      <c r="D22" s="7">
        <f t="shared" si="88"/>
        <v>9.2058823529411757</v>
      </c>
      <c r="E22" s="7">
        <f t="shared" si="88"/>
        <v>9.9</v>
      </c>
      <c r="F22" s="7">
        <f t="shared" si="88"/>
        <v>-4.5750000000000002</v>
      </c>
      <c r="G22" s="7">
        <f t="shared" si="88"/>
        <v>13.824999999999999</v>
      </c>
      <c r="H22" s="7">
        <f t="shared" si="88"/>
        <v>12.155882352941177</v>
      </c>
      <c r="I22" s="7">
        <f t="shared" si="88"/>
        <v>13.517647058823529</v>
      </c>
      <c r="J22" s="7">
        <f t="shared" si="88"/>
        <v>13.158823529411764</v>
      </c>
      <c r="K22" s="7">
        <f t="shared" si="88"/>
        <v>9.7897058823529406</v>
      </c>
      <c r="L22" s="7">
        <f t="shared" si="88"/>
        <v>14.627941176470589</v>
      </c>
      <c r="M22" s="7">
        <f t="shared" si="88"/>
        <v>10.394117647058824</v>
      </c>
      <c r="N22" s="7">
        <f t="shared" si="88"/>
        <v>15.69264705882353</v>
      </c>
      <c r="O22" s="7">
        <f t="shared" si="88"/>
        <v>10.052941176470588</v>
      </c>
      <c r="P22" s="7">
        <f t="shared" si="88"/>
        <v>10.233823529411765</v>
      </c>
      <c r="Q22" s="7">
        <f t="shared" ref="Q22" si="89">Q20/Q21</f>
        <v>17.036982248520712</v>
      </c>
      <c r="R22" s="7">
        <f t="shared" ref="R22:V22" si="90">R20/R21</f>
        <v>22.132267441860463</v>
      </c>
      <c r="S22" s="7">
        <f t="shared" si="90"/>
        <v>26.061046511627907</v>
      </c>
      <c r="T22" s="7">
        <f t="shared" si="90"/>
        <v>1.352901229910209</v>
      </c>
      <c r="U22" s="7">
        <f t="shared" ref="U22" si="91">U20/U21</f>
        <v>1.4288085716441561</v>
      </c>
      <c r="V22" s="7">
        <f t="shared" si="90"/>
        <v>1.5575341432128575</v>
      </c>
      <c r="W22" s="7">
        <f t="shared" ref="W22:X22" si="92">W20/W21</f>
        <v>1.2744049003644258</v>
      </c>
      <c r="X22" s="7">
        <f t="shared" si="92"/>
        <v>1.2407536636427077</v>
      </c>
      <c r="Y22" s="7">
        <f t="shared" ref="Y22" si="93">Y20/Y21</f>
        <v>1.0785453981546096</v>
      </c>
      <c r="Z22" s="7">
        <f t="shared" ref="Z22" si="94">Z20/Z21</f>
        <v>1.0563696983794681</v>
      </c>
      <c r="AA22" s="7">
        <f t="shared" ref="AA22:AB22" si="95">AA20/AA21</f>
        <v>1.1670155850197721</v>
      </c>
      <c r="AB22" s="7">
        <f t="shared" si="95"/>
        <v>1.4242071799643328</v>
      </c>
      <c r="AC22" s="7">
        <f t="shared" ref="AC22" si="96">AC20/AC21</f>
        <v>1.5266341009537101</v>
      </c>
      <c r="AD22" s="7">
        <f t="shared" ref="AD22" si="97">AD20/AD21</f>
        <v>1.6565502882767458</v>
      </c>
      <c r="AE22" s="7">
        <f t="shared" ref="AE22:AH22" si="98">AE20/AE21</f>
        <v>1.8947789878283152</v>
      </c>
      <c r="AF22" s="7">
        <f t="shared" si="98"/>
        <v>1.9186839967506093</v>
      </c>
      <c r="AG22" s="7">
        <f t="shared" si="98"/>
        <v>2.1485989706723307</v>
      </c>
      <c r="AH22" s="7">
        <f t="shared" si="98"/>
        <v>2.1768662838392125</v>
      </c>
      <c r="AI22" s="7">
        <f t="shared" ref="AI22:AL22" si="99">AI20/AI21</f>
        <v>2.8334700574241181</v>
      </c>
      <c r="AJ22" s="7">
        <f t="shared" si="99"/>
        <v>2.3260188087774294</v>
      </c>
      <c r="AK22" s="7">
        <f t="shared" si="99"/>
        <v>2.8941750786033427</v>
      </c>
      <c r="AL22" s="7">
        <f t="shared" si="99"/>
        <v>2.8482268330991154</v>
      </c>
      <c r="AM22" s="7"/>
      <c r="AN22" s="7"/>
      <c r="AO22" s="7"/>
      <c r="AP22" s="7"/>
      <c r="AR22" s="7">
        <f t="shared" ref="AR22:AU22" si="100">AR20/AR21</f>
        <v>37.510294117647057</v>
      </c>
      <c r="AS22" s="7">
        <f t="shared" si="100"/>
        <v>52.65735294117647</v>
      </c>
      <c r="AT22" s="7">
        <f t="shared" si="100"/>
        <v>53.361764705882351</v>
      </c>
      <c r="AU22" s="7">
        <f t="shared" si="100"/>
        <v>59.968934911242606</v>
      </c>
      <c r="AV22" s="7">
        <f t="shared" ref="AV22" si="101">AV20/AV21</f>
        <v>109.64825581395348</v>
      </c>
      <c r="AW22" s="7">
        <f t="shared" ref="AW22" si="102">AW20/AW21</f>
        <v>4.650073660541211</v>
      </c>
      <c r="AX22" s="7">
        <f t="shared" ref="AX22" si="103">AX20/AX21</f>
        <v>5.909272901985906</v>
      </c>
      <c r="AY22" s="7">
        <f t="shared" ref="AY22" si="104">AY20/AY21</f>
        <v>8.2131255127153402</v>
      </c>
      <c r="AZ22" s="7">
        <f t="shared" ref="AZ22" si="105">AZ20/AZ21</f>
        <v>10.925849384144829</v>
      </c>
      <c r="BA22" s="7">
        <f t="shared" ref="BA22" si="106">BA20/BA21</f>
        <v>10.538891166735555</v>
      </c>
      <c r="BB22" s="7">
        <f t="shared" ref="BB22" si="107">BB20/BB21</f>
        <v>11.448152963227248</v>
      </c>
      <c r="BC22" s="7">
        <f t="shared" ref="BC22" si="108">BC20/BC21</f>
        <v>12.154268808634074</v>
      </c>
      <c r="BD22" s="7">
        <f t="shared" ref="BD22" si="109">BD20/BD21</f>
        <v>12.720775020302106</v>
      </c>
      <c r="BE22" s="7">
        <f t="shared" ref="BE22:BF22" si="110">BE20/BE21</f>
        <v>13.169128462066281</v>
      </c>
      <c r="BF22" s="7">
        <f t="shared" si="110"/>
        <v>13.556334341055797</v>
      </c>
      <c r="BG22" s="7">
        <f t="shared" ref="BG22:BJ22" si="111">BG20/BG21</f>
        <v>13.878813376473243</v>
      </c>
      <c r="BH22" s="7">
        <f t="shared" si="111"/>
        <v>14.060558369032355</v>
      </c>
      <c r="BI22" s="7">
        <f t="shared" si="111"/>
        <v>14.245654177813355</v>
      </c>
      <c r="BJ22" s="7">
        <f t="shared" si="111"/>
        <v>14.43418818720977</v>
      </c>
    </row>
    <row r="24" spans="2:197" x14ac:dyDescent="0.3">
      <c r="B24" t="s">
        <v>80</v>
      </c>
      <c r="AA24" s="8"/>
      <c r="AE24" s="8">
        <f>AE3/AA3-1</f>
        <v>0.14363586808394668</v>
      </c>
      <c r="AF24" s="8">
        <f t="shared" ref="AF24:AH24" si="112">AF3/AB3-1</f>
        <v>0.13796096462419061</v>
      </c>
      <c r="AG24" s="8">
        <f t="shared" si="112"/>
        <v>0.12172352700676869</v>
      </c>
      <c r="AH24" s="8">
        <f t="shared" si="112"/>
        <v>0.12523948354852155</v>
      </c>
      <c r="AI24" s="8">
        <f t="shared" ref="AI24:AI29" si="113">AI3/AE3-1</f>
        <v>9.8492070370049367E-2</v>
      </c>
      <c r="AJ24" s="8">
        <f t="shared" ref="AJ24:AJ29" si="114">AJ3/AF3-1</f>
        <v>0.11711228844132027</v>
      </c>
      <c r="AK24" s="8">
        <f t="shared" ref="AK24:AK29" si="115">AK3/AG3-1</f>
        <v>0.14542877391920617</v>
      </c>
      <c r="AL24" s="8">
        <f t="shared" ref="AL24:AL29" si="116">AL3/AH3-1</f>
        <v>0.1672835622015767</v>
      </c>
      <c r="AM24" s="8"/>
      <c r="AN24" s="8"/>
      <c r="AO24" s="8"/>
      <c r="AP24" s="8"/>
      <c r="AV24" s="8">
        <f t="shared" ref="AV24:AW24" si="117">AV3/AU3-1</f>
        <v>0.43136783840402826</v>
      </c>
      <c r="AW24" s="8">
        <f t="shared" si="117"/>
        <v>9.0627118985438182E-2</v>
      </c>
      <c r="AX24" s="8">
        <f>AX3/AW3-1</f>
        <v>7.7457679285934056E-2</v>
      </c>
      <c r="AY24" s="8">
        <f t="shared" ref="AY24:BJ29" si="118">AY3/AX3-1</f>
        <v>0.13169516605440124</v>
      </c>
      <c r="AZ24" s="8">
        <f t="shared" si="118"/>
        <v>0.13351911310353182</v>
      </c>
      <c r="BA24" s="8">
        <f t="shared" si="118"/>
        <v>9.000000000000008E-2</v>
      </c>
      <c r="BB24" s="8">
        <f t="shared" si="118"/>
        <v>6.0000000000000053E-2</v>
      </c>
      <c r="BC24" s="8">
        <f t="shared" si="118"/>
        <v>4.0000000000000036E-2</v>
      </c>
      <c r="BD24" s="8">
        <f t="shared" si="118"/>
        <v>3.0000000000000027E-2</v>
      </c>
      <c r="BE24" s="8">
        <f t="shared" si="118"/>
        <v>2.0000000000000018E-2</v>
      </c>
      <c r="BF24" s="8">
        <f t="shared" si="118"/>
        <v>2.0000000000000018E-2</v>
      </c>
      <c r="BG24" s="8">
        <f t="shared" si="118"/>
        <v>2.0000000000000018E-2</v>
      </c>
      <c r="BH24" s="8">
        <f t="shared" si="118"/>
        <v>1.0000000000000009E-2</v>
      </c>
      <c r="BI24" s="8">
        <f t="shared" si="118"/>
        <v>1.0000000000000009E-2</v>
      </c>
      <c r="BJ24" s="8">
        <f t="shared" si="118"/>
        <v>1.0000000000000009E-2</v>
      </c>
    </row>
    <row r="25" spans="2:197" x14ac:dyDescent="0.3">
      <c r="B25" t="s">
        <v>81</v>
      </c>
      <c r="AE25" s="8">
        <f t="shared" ref="AE25:AH25" si="119">AE4/AA4-1</f>
        <v>0.20872553414014638</v>
      </c>
      <c r="AF25" s="8">
        <f t="shared" si="119"/>
        <v>0.13020221787345077</v>
      </c>
      <c r="AG25" s="8">
        <f t="shared" si="119"/>
        <v>0.12185613682092544</v>
      </c>
      <c r="AH25" s="8">
        <f t="shared" si="119"/>
        <v>0.1383695652173913</v>
      </c>
      <c r="AI25" s="8">
        <f t="shared" si="113"/>
        <v>0.10346106304079106</v>
      </c>
      <c r="AJ25" s="8">
        <f t="shared" si="114"/>
        <v>0.1307861018123051</v>
      </c>
      <c r="AK25" s="8">
        <f t="shared" si="115"/>
        <v>0.15020737585472488</v>
      </c>
      <c r="AL25" s="8">
        <f t="shared" si="116"/>
        <v>8.6890098348133327E-2</v>
      </c>
      <c r="AM25" s="8"/>
      <c r="AN25" s="8"/>
      <c r="AO25" s="8"/>
      <c r="AP25" s="8"/>
      <c r="AV25" s="8">
        <f t="shared" ref="AV25:AW25" si="120">AV4/AU4-1</f>
        <v>0.45888124620675708</v>
      </c>
      <c r="AW25" s="8">
        <f t="shared" si="120"/>
        <v>1.3797885248743258E-2</v>
      </c>
      <c r="AX25" s="8">
        <f t="shared" ref="AX25" si="121">AX4/AW4-1</f>
        <v>7.7522825975447018E-2</v>
      </c>
      <c r="AY25" s="8">
        <f t="shared" si="118"/>
        <v>0.14715963186290071</v>
      </c>
      <c r="AZ25" s="8">
        <f t="shared" si="118"/>
        <v>0.11674551138407052</v>
      </c>
      <c r="BA25" s="8">
        <f t="shared" si="118"/>
        <v>8.0000000000000071E-2</v>
      </c>
      <c r="BB25" s="8">
        <f t="shared" si="118"/>
        <v>6.0000000000000053E-2</v>
      </c>
      <c r="BC25" s="8">
        <f t="shared" si="118"/>
        <v>4.0000000000000036E-2</v>
      </c>
      <c r="BD25" s="8">
        <f t="shared" si="118"/>
        <v>3.0000000000000027E-2</v>
      </c>
      <c r="BE25" s="8">
        <f t="shared" si="118"/>
        <v>3.0000000000000027E-2</v>
      </c>
      <c r="BF25" s="8">
        <f t="shared" si="118"/>
        <v>2.0000000000000018E-2</v>
      </c>
      <c r="BG25" s="8">
        <f t="shared" si="118"/>
        <v>2.0000000000000018E-2</v>
      </c>
      <c r="BH25" s="8">
        <f t="shared" si="118"/>
        <v>2.0000000000000018E-2</v>
      </c>
      <c r="BI25" s="8">
        <f t="shared" si="118"/>
        <v>2.0000000000000018E-2</v>
      </c>
      <c r="BJ25" s="8">
        <f t="shared" si="118"/>
        <v>2.0000000000000018E-2</v>
      </c>
    </row>
    <row r="26" spans="2:197" x14ac:dyDescent="0.3">
      <c r="B26" t="s">
        <v>82</v>
      </c>
      <c r="AE26" s="8">
        <f t="shared" ref="AE26:AH26" si="122">AE5/AA5-1</f>
        <v>-1.1072572038420492E-2</v>
      </c>
      <c r="AF26" s="8">
        <f t="shared" si="122"/>
        <v>-5.1719745222929991E-2</v>
      </c>
      <c r="AG26" s="8">
        <f t="shared" si="122"/>
        <v>-1.5777806754466051E-2</v>
      </c>
      <c r="AH26" s="8">
        <f t="shared" si="122"/>
        <v>-4.1340243461492121E-2</v>
      </c>
      <c r="AI26" s="8">
        <f t="shared" si="113"/>
        <v>-2.1179009847565045E-2</v>
      </c>
      <c r="AJ26" s="8">
        <f t="shared" si="114"/>
        <v>-1.2090274046211769E-2</v>
      </c>
      <c r="AK26" s="8">
        <f t="shared" si="115"/>
        <v>-2.5702172760996289E-2</v>
      </c>
      <c r="AL26" s="8">
        <f t="shared" si="116"/>
        <v>-1.584108624591396E-2</v>
      </c>
      <c r="AM26" s="8"/>
      <c r="AN26" s="8"/>
      <c r="AO26" s="8"/>
      <c r="AP26" s="8"/>
      <c r="AV26" s="8">
        <f t="shared" ref="AV26:AW26" si="123">AV5/AU5-1</f>
        <v>0.37293200519705505</v>
      </c>
      <c r="AW26" s="8">
        <f t="shared" si="123"/>
        <v>3.4036781174095365E-2</v>
      </c>
      <c r="AX26" s="8">
        <f t="shared" ref="AX26" si="124">AX5/AW5-1</f>
        <v>-4.4783404514948111E-2</v>
      </c>
      <c r="AY26" s="8">
        <f t="shared" si="118"/>
        <v>-3.0435615738375055E-2</v>
      </c>
      <c r="AZ26" s="8">
        <f t="shared" si="118"/>
        <v>-1.8676504496195512E-2</v>
      </c>
      <c r="BA26" s="8">
        <f t="shared" si="118"/>
        <v>1.0000000000000009E-2</v>
      </c>
      <c r="BB26" s="8">
        <f t="shared" si="118"/>
        <v>1.0000000000000009E-2</v>
      </c>
      <c r="BC26" s="8">
        <f t="shared" si="118"/>
        <v>1.0000000000000009E-2</v>
      </c>
      <c r="BD26" s="8">
        <f t="shared" si="118"/>
        <v>1.0000000000000009E-2</v>
      </c>
      <c r="BE26" s="8">
        <f t="shared" si="118"/>
        <v>1.0000000000000009E-2</v>
      </c>
      <c r="BF26" s="8">
        <f t="shared" si="118"/>
        <v>1.0000000000000009E-2</v>
      </c>
      <c r="BG26" s="8">
        <f t="shared" si="118"/>
        <v>1.0000000000000009E-2</v>
      </c>
      <c r="BH26" s="8">
        <f t="shared" si="118"/>
        <v>1.0000000000000009E-2</v>
      </c>
      <c r="BI26" s="8">
        <f t="shared" si="118"/>
        <v>1.0000000000000009E-2</v>
      </c>
      <c r="BJ26" s="8">
        <f t="shared" si="118"/>
        <v>1.0000000000000009E-2</v>
      </c>
    </row>
    <row r="27" spans="2:197" x14ac:dyDescent="0.3">
      <c r="B27" t="s">
        <v>83</v>
      </c>
      <c r="AE27" s="8">
        <f t="shared" ref="AE27:AH27" si="125">AE6/AA6-1</f>
        <v>0.17887494941319293</v>
      </c>
      <c r="AF27" s="8">
        <f t="shared" si="125"/>
        <v>0.14369933677229185</v>
      </c>
      <c r="AG27" s="8">
        <f t="shared" si="125"/>
        <v>0.2778510612783307</v>
      </c>
      <c r="AH27" s="8">
        <f t="shared" si="125"/>
        <v>7.772836761163604E-2</v>
      </c>
      <c r="AI27" s="8">
        <f t="shared" si="113"/>
        <v>0.18766449250486317</v>
      </c>
      <c r="AJ27" s="8">
        <f t="shared" si="114"/>
        <v>0.20307130584192445</v>
      </c>
      <c r="AK27" s="8">
        <f t="shared" si="115"/>
        <v>0.20777027027027017</v>
      </c>
      <c r="AL27" s="8">
        <f t="shared" si="116"/>
        <v>0.1671967678156967</v>
      </c>
      <c r="AM27" s="8"/>
      <c r="AN27" s="8"/>
      <c r="AO27" s="8"/>
      <c r="AP27" s="8"/>
      <c r="AV27" s="8">
        <f t="shared" ref="AV27:AW27" si="126">AV6/AU6-1</f>
        <v>0.29114273870388274</v>
      </c>
      <c r="AW27" s="8">
        <f t="shared" si="126"/>
        <v>3.6494006849315141E-2</v>
      </c>
      <c r="AX27" s="8">
        <f t="shared" ref="AX27" si="127">AX6/AW6-1</f>
        <v>0.19387368783341929</v>
      </c>
      <c r="AY27" s="8">
        <f t="shared" si="118"/>
        <v>0.16293819188191883</v>
      </c>
      <c r="AZ27" s="8">
        <f t="shared" si="118"/>
        <v>0.1906296479920675</v>
      </c>
      <c r="BA27" s="8">
        <f t="shared" si="118"/>
        <v>0.12000000000000011</v>
      </c>
      <c r="BB27" s="8">
        <f t="shared" si="118"/>
        <v>8.0000000000000071E-2</v>
      </c>
      <c r="BC27" s="8">
        <f t="shared" si="118"/>
        <v>6.0000000000000053E-2</v>
      </c>
      <c r="BD27" s="8">
        <f t="shared" si="118"/>
        <v>5.0000000000000044E-2</v>
      </c>
      <c r="BE27" s="8">
        <f t="shared" si="118"/>
        <v>4.0000000000000036E-2</v>
      </c>
      <c r="BF27" s="8">
        <f t="shared" si="118"/>
        <v>3.0000000000000027E-2</v>
      </c>
      <c r="BG27" s="8">
        <f t="shared" si="118"/>
        <v>3.0000000000000027E-2</v>
      </c>
      <c r="BH27" s="8">
        <f t="shared" si="118"/>
        <v>3.0000000000000027E-2</v>
      </c>
      <c r="BI27" s="8">
        <f t="shared" si="118"/>
        <v>3.0000000000000027E-2</v>
      </c>
      <c r="BJ27" s="8">
        <f t="shared" si="118"/>
        <v>3.0000000000000027E-2</v>
      </c>
    </row>
    <row r="28" spans="2:197" x14ac:dyDescent="0.3">
      <c r="B28" t="s">
        <v>84</v>
      </c>
      <c r="AE28" s="8">
        <f t="shared" ref="AE28:AH28" si="128">AE7/AA7-1</f>
        <v>0.28441105446740012</v>
      </c>
      <c r="AF28" s="8">
        <f t="shared" si="128"/>
        <v>0.28838251774374291</v>
      </c>
      <c r="AG28" s="8">
        <f t="shared" si="128"/>
        <v>0.34978004993460954</v>
      </c>
      <c r="AH28" s="8">
        <f t="shared" si="128"/>
        <v>0.3005874673629243</v>
      </c>
      <c r="AI28" s="8">
        <f t="shared" si="113"/>
        <v>0.28055149362857734</v>
      </c>
      <c r="AJ28" s="8">
        <f t="shared" si="114"/>
        <v>0.31671015753358467</v>
      </c>
      <c r="AK28" s="8">
        <f t="shared" si="115"/>
        <v>0.33506562142165075</v>
      </c>
      <c r="AL28" s="8">
        <f t="shared" si="116"/>
        <v>0.47754077791718941</v>
      </c>
      <c r="AM28" s="8"/>
      <c r="AN28" s="8"/>
      <c r="AO28" s="8"/>
      <c r="AP28" s="8"/>
      <c r="AV28" s="8">
        <f t="shared" ref="AV28:AW28" si="129">AV7/AU7-1</f>
        <v>0.47070985527222597</v>
      </c>
      <c r="AW28" s="8">
        <f t="shared" si="129"/>
        <v>0.36832239925023424</v>
      </c>
      <c r="AX28" s="8">
        <f t="shared" ref="AX28" si="130">AX7/AW7-1</f>
        <v>0.25905631659056327</v>
      </c>
      <c r="AY28" s="8">
        <f t="shared" si="118"/>
        <v>0.30648573500967125</v>
      </c>
      <c r="AZ28" s="8">
        <f t="shared" si="118"/>
        <v>0.35800041638714752</v>
      </c>
      <c r="BA28" s="8">
        <f t="shared" si="118"/>
        <v>0.19999999999999996</v>
      </c>
      <c r="BB28" s="8">
        <f t="shared" si="118"/>
        <v>0.14999999999999991</v>
      </c>
      <c r="BC28" s="8">
        <f t="shared" si="118"/>
        <v>0.10000000000000009</v>
      </c>
      <c r="BD28" s="8">
        <f t="shared" si="118"/>
        <v>8.0000000000000071E-2</v>
      </c>
      <c r="BE28" s="8">
        <f t="shared" si="118"/>
        <v>6.0000000000000053E-2</v>
      </c>
      <c r="BF28" s="8">
        <f t="shared" si="118"/>
        <v>5.0000000000000044E-2</v>
      </c>
      <c r="BG28" s="8">
        <f t="shared" si="118"/>
        <v>3.0000000000000027E-2</v>
      </c>
      <c r="BH28" s="8">
        <f t="shared" si="118"/>
        <v>2.0000000000000018E-2</v>
      </c>
      <c r="BI28" s="8">
        <f t="shared" si="118"/>
        <v>2.0000000000000018E-2</v>
      </c>
      <c r="BJ28" s="8">
        <f t="shared" si="118"/>
        <v>2.0000000000000018E-2</v>
      </c>
    </row>
    <row r="29" spans="2:197" x14ac:dyDescent="0.3">
      <c r="B29" t="s">
        <v>85</v>
      </c>
      <c r="AE29" s="8">
        <f t="shared" ref="AE29:AH29" si="131">AE8/AA8-1</f>
        <v>0.71875</v>
      </c>
      <c r="AF29" s="8">
        <f t="shared" si="131"/>
        <v>0.2807017543859649</v>
      </c>
      <c r="AG29" s="8">
        <f t="shared" si="131"/>
        <v>0.30639730639730645</v>
      </c>
      <c r="AH29" s="8">
        <f t="shared" si="131"/>
        <v>-0.39117199391171997</v>
      </c>
      <c r="AI29" s="8">
        <f t="shared" si="113"/>
        <v>-9.0909090909090939E-2</v>
      </c>
      <c r="AJ29" s="8">
        <f t="shared" si="114"/>
        <v>2.1917808219177992E-2</v>
      </c>
      <c r="AK29" s="8">
        <f t="shared" si="115"/>
        <v>-0.11340206185567014</v>
      </c>
      <c r="AL29" s="8">
        <f t="shared" si="116"/>
        <v>-7.4999999999999956E-2</v>
      </c>
      <c r="AM29" s="8"/>
      <c r="AN29" s="8"/>
      <c r="AO29" s="8"/>
      <c r="AP29" s="8"/>
      <c r="AV29" s="8">
        <f t="shared" ref="AV29:AW29" si="132">AV8/AU8-1</f>
        <v>0.14611872146118721</v>
      </c>
      <c r="AW29" s="8">
        <f t="shared" si="132"/>
        <v>0.41832669322709171</v>
      </c>
      <c r="AX29" s="8">
        <f t="shared" ref="AX29" si="133">AX8/AW8-1</f>
        <v>0.4297752808988764</v>
      </c>
      <c r="AY29" s="8">
        <f t="shared" si="118"/>
        <v>7.9240340537000575E-2</v>
      </c>
      <c r="AZ29" s="8">
        <f t="shared" si="118"/>
        <v>-6.7354368932038833E-2</v>
      </c>
      <c r="BA29" s="8">
        <f t="shared" si="118"/>
        <v>0.25</v>
      </c>
      <c r="BB29" s="8">
        <f t="shared" si="118"/>
        <v>0.19999999999999996</v>
      </c>
      <c r="BC29" s="8">
        <f t="shared" si="118"/>
        <v>0.14999999999999991</v>
      </c>
      <c r="BD29" s="8">
        <f t="shared" si="118"/>
        <v>0.10000000000000009</v>
      </c>
      <c r="BE29" s="8">
        <f t="shared" si="118"/>
        <v>5.0000000000000044E-2</v>
      </c>
      <c r="BF29" s="8">
        <f t="shared" si="118"/>
        <v>5.0000000000000044E-2</v>
      </c>
      <c r="BG29" s="8">
        <f t="shared" si="118"/>
        <v>5.0000000000000044E-2</v>
      </c>
      <c r="BH29" s="8">
        <f t="shared" si="118"/>
        <v>5.0000000000000044E-2</v>
      </c>
      <c r="BI29" s="8">
        <f t="shared" si="118"/>
        <v>5.0000000000000044E-2</v>
      </c>
      <c r="BJ29" s="8">
        <f t="shared" si="118"/>
        <v>5.0000000000000044E-2</v>
      </c>
    </row>
    <row r="30" spans="2:197" x14ac:dyDescent="0.3">
      <c r="B30" t="s">
        <v>38</v>
      </c>
      <c r="C30" s="6"/>
      <c r="D30" s="6"/>
      <c r="E30" s="6"/>
      <c r="F30" s="6"/>
      <c r="G30" s="8">
        <f t="shared" ref="G30" si="134">G10/C10-1</f>
        <v>0.25842424242424245</v>
      </c>
      <c r="H30" s="8">
        <f t="shared" ref="H30" si="135">H10/D10-1</f>
        <v>0.25555555555555554</v>
      </c>
      <c r="I30" s="8">
        <f t="shared" ref="I30" si="136">I10/E10-1</f>
        <v>0.21489269768111763</v>
      </c>
      <c r="J30" s="8">
        <f t="shared" ref="J30" si="137">J10/F10-1</f>
        <v>0.21854058078927774</v>
      </c>
      <c r="K30" s="8">
        <f t="shared" ref="K30:O30" si="138">K10/G10-1</f>
        <v>0.16673088036987083</v>
      </c>
      <c r="L30" s="8">
        <f t="shared" si="138"/>
        <v>0.19251615273907574</v>
      </c>
      <c r="M30" s="8">
        <f t="shared" si="138"/>
        <v>0.2003260225251926</v>
      </c>
      <c r="N30" s="8">
        <f t="shared" si="138"/>
        <v>0.17310825949689379</v>
      </c>
      <c r="O30" s="8">
        <f t="shared" si="138"/>
        <v>0.13263986350752632</v>
      </c>
      <c r="P30" s="8">
        <f>P10/L10-1</f>
        <v>-1.6613599013968749E-2</v>
      </c>
      <c r="Q30" s="8">
        <f t="shared" ref="Q30:R30" si="139">Q10/M10-1</f>
        <v>0.14010222474628997</v>
      </c>
      <c r="R30" s="8">
        <f t="shared" si="139"/>
        <v>0.23489962018448174</v>
      </c>
      <c r="S30" s="8">
        <f t="shared" ref="S30" si="140">S10/O10-1</f>
        <v>0.34391020189994892</v>
      </c>
      <c r="T30" s="8">
        <f t="shared" ref="T30" si="141">T10/P10-1</f>
        <v>0.44434289892158652</v>
      </c>
      <c r="U30" s="8">
        <f t="shared" ref="U30" si="142">U10/Q10-1</f>
        <v>0.41030472353973102</v>
      </c>
      <c r="V30" s="8">
        <f t="shared" ref="V30" si="143">V10/R10-1</f>
        <v>0.32386024113325607</v>
      </c>
      <c r="W30" s="8">
        <f t="shared" ref="W30" si="144">W10/S10-1</f>
        <v>0.22954405756228069</v>
      </c>
      <c r="X30" s="8">
        <f t="shared" ref="X30" si="145">X10/T10-1</f>
        <v>0.25980764363452291</v>
      </c>
      <c r="Y30" s="8">
        <f t="shared" ref="Y30" si="146">Y10/U10-1</f>
        <v>6.1027672840074931E-2</v>
      </c>
      <c r="Z30" s="8">
        <f t="shared" ref="Z30" si="147">Z10/V10-1</f>
        <v>9.5984069034185104E-3</v>
      </c>
      <c r="AA30" s="8">
        <f t="shared" ref="AA30" si="148">AA10/W10-1</f>
        <v>2.6113422828660138E-2</v>
      </c>
      <c r="AB30" s="8">
        <f t="shared" ref="AB30" si="149">AB10/X10-1</f>
        <v>7.0589079428858392E-2</v>
      </c>
      <c r="AC30" s="8">
        <f t="shared" ref="AC30" si="150">AC10/Y10-1</f>
        <v>0.11001273664100042</v>
      </c>
      <c r="AD30" s="8">
        <f t="shared" ref="AD30" si="151">AD10/Z10-1</f>
        <v>0.13494108983799702</v>
      </c>
      <c r="AE30" s="8">
        <f t="shared" ref="AE30" si="152">AE10/AA10-1</f>
        <v>0.15406880937710454</v>
      </c>
      <c r="AF30" s="8">
        <f t="shared" ref="AF30" si="153">AF10/AB10-1</f>
        <v>0.13589083695244231</v>
      </c>
      <c r="AG30" s="8">
        <f t="shared" ref="AG30" si="154">AG10/AC10-1</f>
        <v>0.15092642092498654</v>
      </c>
      <c r="AH30" s="8">
        <f t="shared" ref="AH30" si="155">AH10/AD10-1</f>
        <v>0.11770362646275045</v>
      </c>
      <c r="AI30" s="8">
        <f t="shared" ref="AI30" si="156">AI10/AE10-1</f>
        <v>0.12037646357665222</v>
      </c>
      <c r="AJ30" s="8">
        <f t="shared" ref="AJ30" si="157">AJ10/AF10-1</f>
        <v>0.13790092280097244</v>
      </c>
      <c r="AK30" s="8">
        <f t="shared" ref="AK30" si="158">AK10/AG10-1</f>
        <v>0.1594915484660353</v>
      </c>
      <c r="AL30" s="8">
        <f t="shared" ref="AL30" si="159">AL10/AH10-1</f>
        <v>0.17994381614819277</v>
      </c>
      <c r="AM30" s="8"/>
      <c r="AN30" s="8"/>
      <c r="AO30" s="8"/>
      <c r="AP30" s="8"/>
      <c r="AS30" s="8">
        <f>AS10/AR10-1</f>
        <v>0.23522985807663144</v>
      </c>
      <c r="AT30" s="8">
        <f t="shared" ref="AT30:BF30" si="160">AT10/AS10-1</f>
        <v>0.18300089899794614</v>
      </c>
      <c r="AU30" s="8">
        <f t="shared" si="160"/>
        <v>0.12770532012826141</v>
      </c>
      <c r="AV30" s="8">
        <f t="shared" si="160"/>
        <v>0.37552800407610931</v>
      </c>
      <c r="AW30" s="8">
        <f t="shared" si="160"/>
        <v>0.12651799690127485</v>
      </c>
      <c r="AX30" s="8">
        <f t="shared" si="160"/>
        <v>8.6827702272695095E-2</v>
      </c>
      <c r="AY30" s="8">
        <f t="shared" si="160"/>
        <v>0.13866243322901561</v>
      </c>
      <c r="AZ30" s="8">
        <f t="shared" si="160"/>
        <v>0.15090081081544371</v>
      </c>
      <c r="BA30" s="8">
        <f t="shared" si="160"/>
        <v>0.10332112820105466</v>
      </c>
      <c r="BB30" s="8">
        <f t="shared" si="160"/>
        <v>7.3917355467104651E-2</v>
      </c>
      <c r="BC30" s="8">
        <f t="shared" si="160"/>
        <v>5.1244751118981524E-2</v>
      </c>
      <c r="BD30" s="8">
        <f t="shared" si="160"/>
        <v>4.0483709761662157E-2</v>
      </c>
      <c r="BE30" s="8">
        <f t="shared" si="160"/>
        <v>3.0372809671984413E-2</v>
      </c>
      <c r="BF30" s="8">
        <f t="shared" si="160"/>
        <v>2.6528178995257834E-2</v>
      </c>
      <c r="BG30" s="8">
        <f t="shared" ref="BG30" si="161">BG10/BF10-1</f>
        <v>2.2796142204261516E-2</v>
      </c>
      <c r="BH30" s="8">
        <f t="shared" ref="BH30" si="162">BH10/BG10-1</f>
        <v>1.56555707499344E-2</v>
      </c>
      <c r="BI30" s="8">
        <f t="shared" ref="BI30" si="163">BI10/BH10-1</f>
        <v>1.5711698871324842E-2</v>
      </c>
      <c r="BJ30" s="8">
        <f t="shared" ref="BJ30" si="164">BJ10/BI10-1</f>
        <v>1.5768338428950868E-2</v>
      </c>
    </row>
    <row r="31" spans="2:197" x14ac:dyDescent="0.3">
      <c r="B31" t="s">
        <v>34</v>
      </c>
      <c r="C31" s="8">
        <f t="shared" ref="C31:F31" si="165">C12/C10</f>
        <v>0.60424242424242425</v>
      </c>
      <c r="D31" s="8">
        <f t="shared" si="165"/>
        <v>0.60119184928873515</v>
      </c>
      <c r="E31" s="8">
        <f t="shared" si="165"/>
        <v>0.59858850640933314</v>
      </c>
      <c r="F31" s="8">
        <f t="shared" si="165"/>
        <v>0.55736535120377262</v>
      </c>
      <c r="G31" s="8">
        <f t="shared" ref="G31:O31" si="166">G12/G10</f>
        <v>0.56761702947408976</v>
      </c>
      <c r="H31" s="8">
        <f t="shared" si="166"/>
        <v>0.57488440456869894</v>
      </c>
      <c r="I31" s="8">
        <f t="shared" si="166"/>
        <v>0.57673384706579722</v>
      </c>
      <c r="J31" s="8">
        <f t="shared" si="166"/>
        <v>0.54379264690905382</v>
      </c>
      <c r="K31" s="8">
        <f t="shared" si="166"/>
        <v>0.55937147417375277</v>
      </c>
      <c r="L31" s="8">
        <f t="shared" si="166"/>
        <v>0.55587510271158591</v>
      </c>
      <c r="M31" s="8">
        <f t="shared" si="166"/>
        <v>0.56621151139534309</v>
      </c>
      <c r="N31" s="8">
        <f t="shared" si="166"/>
        <v>0.54378730330982095</v>
      </c>
      <c r="O31" s="8">
        <f t="shared" si="166"/>
        <v>0.53881289632887097</v>
      </c>
      <c r="P31" s="8">
        <f>P12/P10</f>
        <v>0.51554952085019712</v>
      </c>
      <c r="Q31" s="8">
        <f t="shared" ref="Q31:R31" si="167">Q12/Q10</f>
        <v>0.54265479825872265</v>
      </c>
      <c r="R31" s="8">
        <f t="shared" si="167"/>
        <v>0.54163590987380927</v>
      </c>
      <c r="S31" s="8">
        <f t="shared" ref="S31:V31" si="168">S12/S10</f>
        <v>0.56425136493473627</v>
      </c>
      <c r="T31" s="8">
        <f t="shared" si="168"/>
        <v>0.56425136493473627</v>
      </c>
      <c r="U31" s="8">
        <f t="shared" si="168"/>
        <v>0.57583156730857832</v>
      </c>
      <c r="V31" s="8">
        <f t="shared" si="168"/>
        <v>0.56205774975107869</v>
      </c>
      <c r="W31" s="8">
        <f t="shared" ref="W31:AE31" si="169">W12/W10</f>
        <v>0.5647909896928438</v>
      </c>
      <c r="X31" s="8">
        <f t="shared" si="169"/>
        <v>0.56799885197675248</v>
      </c>
      <c r="Y31" s="8">
        <f t="shared" si="169"/>
        <v>0.54903606785156023</v>
      </c>
      <c r="Z31" s="8">
        <f t="shared" si="169"/>
        <v>0.53526719966337055</v>
      </c>
      <c r="AA31" s="8">
        <f t="shared" si="169"/>
        <v>0.56135096794531936</v>
      </c>
      <c r="AB31" s="8">
        <f t="shared" si="169"/>
        <v>0.5721945204010509</v>
      </c>
      <c r="AC31" s="8">
        <f t="shared" si="169"/>
        <v>0.56672708069836886</v>
      </c>
      <c r="AD31" s="8">
        <f t="shared" si="169"/>
        <v>0.56465067778936395</v>
      </c>
      <c r="AE31" s="8">
        <f t="shared" si="169"/>
        <v>0.58142018152696207</v>
      </c>
      <c r="AF31" s="8">
        <f t="shared" ref="AF31:AH31" si="170">AF12/AF10</f>
        <v>0.58099879634655782</v>
      </c>
      <c r="AG31" s="8">
        <f t="shared" si="170"/>
        <v>0.58678116644763678</v>
      </c>
      <c r="AH31" s="8">
        <f t="shared" si="170"/>
        <v>0.5790046543449191</v>
      </c>
      <c r="AI31" s="8">
        <f t="shared" ref="AI31:AL31" si="171">AI12/AI10</f>
        <v>0.5970365937451515</v>
      </c>
      <c r="AJ31" s="8">
        <f t="shared" si="171"/>
        <v>0.59514871199236741</v>
      </c>
      <c r="AK31" s="8">
        <f t="shared" si="171"/>
        <v>0.59579270318331934</v>
      </c>
      <c r="AL31" s="8">
        <f t="shared" si="171"/>
        <v>0.59793723864075621</v>
      </c>
      <c r="AM31" s="8"/>
      <c r="AN31" s="8"/>
      <c r="AO31" s="8"/>
      <c r="AP31" s="8"/>
      <c r="AR31" s="8">
        <f t="shared" ref="AR31:BE31" si="172">AR12/AR10</f>
        <v>0.58846737207034772</v>
      </c>
      <c r="AS31" s="8">
        <f t="shared" si="172"/>
        <v>0.5647607422945643</v>
      </c>
      <c r="AT31" s="8">
        <f t="shared" si="172"/>
        <v>0.5558054331910266</v>
      </c>
      <c r="AU31" s="8">
        <f t="shared" si="172"/>
        <v>0.53578374706207854</v>
      </c>
      <c r="AV31" s="8">
        <f t="shared" si="172"/>
        <v>0.56659669973832105</v>
      </c>
      <c r="AW31" s="8">
        <f t="shared" si="172"/>
        <v>0.55379442503783116</v>
      </c>
      <c r="AX31" s="8">
        <f t="shared" si="172"/>
        <v>0.56625047984020505</v>
      </c>
      <c r="AY31" s="8">
        <f t="shared" si="172"/>
        <v>0.58200435406179107</v>
      </c>
      <c r="AZ31" s="8">
        <f t="shared" si="172"/>
        <v>0.59652315086039975</v>
      </c>
      <c r="BA31" s="8">
        <f t="shared" si="172"/>
        <v>0.6</v>
      </c>
      <c r="BB31" s="8">
        <f t="shared" si="172"/>
        <v>0.6</v>
      </c>
      <c r="BC31" s="8">
        <f t="shared" si="172"/>
        <v>0.6</v>
      </c>
      <c r="BD31" s="8">
        <f t="shared" si="172"/>
        <v>0.6</v>
      </c>
      <c r="BE31" s="8">
        <f t="shared" si="172"/>
        <v>0.6</v>
      </c>
      <c r="BF31" s="8">
        <f t="shared" ref="BF31:BJ31" si="173">BF12/BF10</f>
        <v>0.6</v>
      </c>
      <c r="BG31" s="8">
        <f t="shared" si="173"/>
        <v>0.6</v>
      </c>
      <c r="BH31" s="8">
        <f t="shared" si="173"/>
        <v>0.6</v>
      </c>
      <c r="BI31" s="8">
        <f t="shared" si="173"/>
        <v>0.6</v>
      </c>
      <c r="BJ31" s="8">
        <f t="shared" si="173"/>
        <v>0.6</v>
      </c>
    </row>
    <row r="32" spans="2:197" x14ac:dyDescent="0.3">
      <c r="B32" t="s">
        <v>35</v>
      </c>
      <c r="C32" s="8">
        <f t="shared" ref="C32:F32" si="174">C16/C10</f>
        <v>0.26537373737373737</v>
      </c>
      <c r="D32" s="8">
        <f t="shared" si="174"/>
        <v>0.26405228758169935</v>
      </c>
      <c r="E32" s="8">
        <f t="shared" si="174"/>
        <v>0.28021028373901774</v>
      </c>
      <c r="F32" s="8">
        <f t="shared" si="174"/>
        <v>0.23495284189625218</v>
      </c>
      <c r="G32" s="8">
        <f>G16/G10</f>
        <v>0.24507159827907277</v>
      </c>
      <c r="H32" s="8">
        <f t="shared" ref="H32:R32" si="175">H16/H10</f>
        <v>0.24852252197078728</v>
      </c>
      <c r="I32" s="8">
        <f t="shared" si="175"/>
        <v>0.25563129816241847</v>
      </c>
      <c r="J32" s="8">
        <f t="shared" si="175"/>
        <v>0.20931357572054179</v>
      </c>
      <c r="K32" s="8">
        <f t="shared" si="175"/>
        <v>0.18184319876716476</v>
      </c>
      <c r="L32" s="8">
        <f t="shared" si="175"/>
        <v>0.23572308956450289</v>
      </c>
      <c r="M32" s="8">
        <f t="shared" si="175"/>
        <v>0.22659818760957059</v>
      </c>
      <c r="N32" s="8">
        <f t="shared" si="175"/>
        <v>0.20110689093868692</v>
      </c>
      <c r="O32" s="8">
        <f t="shared" si="175"/>
        <v>0.1938093734055735</v>
      </c>
      <c r="P32" s="8">
        <f t="shared" si="175"/>
        <v>0.1666710186176463</v>
      </c>
      <c r="Q32" s="8">
        <f t="shared" si="175"/>
        <v>0.24284755159941956</v>
      </c>
      <c r="R32" s="8">
        <f t="shared" si="175"/>
        <v>0.27507118000632713</v>
      </c>
      <c r="S32" s="8">
        <f t="shared" ref="S32:V32" si="176">S16/S10</f>
        <v>0.29715804317171057</v>
      </c>
      <c r="T32" s="8">
        <f t="shared" si="176"/>
        <v>0.29715804317171057</v>
      </c>
      <c r="U32" s="8">
        <f t="shared" si="176"/>
        <v>0.32296753585798088</v>
      </c>
      <c r="V32" s="8">
        <f t="shared" si="176"/>
        <v>0.29054098904746101</v>
      </c>
      <c r="W32" s="8">
        <f t="shared" ref="W32:AE32" si="177">W16/W10</f>
        <v>0.29545220626075192</v>
      </c>
      <c r="X32" s="8">
        <f t="shared" si="177"/>
        <v>0.279156202913109</v>
      </c>
      <c r="Y32" s="8">
        <f t="shared" si="177"/>
        <v>0.24800266311584554</v>
      </c>
      <c r="Z32" s="8">
        <f t="shared" si="177"/>
        <v>0.23879654954765411</v>
      </c>
      <c r="AA32" s="8">
        <f t="shared" si="177"/>
        <v>0.24954504420594092</v>
      </c>
      <c r="AB32" s="8">
        <f t="shared" si="177"/>
        <v>0.29271888906761029</v>
      </c>
      <c r="AC32" s="8">
        <f t="shared" si="177"/>
        <v>0.27829136948613303</v>
      </c>
      <c r="AD32" s="8">
        <f t="shared" si="177"/>
        <v>0.27455683003128256</v>
      </c>
      <c r="AE32" s="8">
        <f t="shared" si="177"/>
        <v>0.31626913669154072</v>
      </c>
      <c r="AF32" s="8">
        <f t="shared" ref="AF32:AH32" si="178">AF16/AF10</f>
        <v>0.32362936914398999</v>
      </c>
      <c r="AG32" s="8">
        <f t="shared" si="178"/>
        <v>0.32311823084243441</v>
      </c>
      <c r="AH32" s="8">
        <f t="shared" si="178"/>
        <v>0.32105650519856122</v>
      </c>
      <c r="AI32" s="8">
        <f t="shared" ref="AI32:AL32" si="179">AI16/AI10</f>
        <v>0.33918478622248821</v>
      </c>
      <c r="AJ32" s="8">
        <f t="shared" si="179"/>
        <v>0.32429377359273243</v>
      </c>
      <c r="AK32" s="8">
        <f t="shared" si="179"/>
        <v>0.30512184159615424</v>
      </c>
      <c r="AL32" s="8">
        <f t="shared" si="179"/>
        <v>0.31568682573707701</v>
      </c>
      <c r="AM32" s="8"/>
      <c r="AN32" s="8"/>
      <c r="AO32" s="8"/>
      <c r="AP32" s="8"/>
      <c r="AR32" s="8">
        <f t="shared" ref="AR32:BE32" si="180">AR16/AR10</f>
        <v>0.25993102452060235</v>
      </c>
      <c r="AS32" s="8">
        <f t="shared" si="180"/>
        <v>0.23823445574079624</v>
      </c>
      <c r="AT32" s="8">
        <f t="shared" si="180"/>
        <v>0.22349357766423447</v>
      </c>
      <c r="AU32" s="8">
        <f t="shared" si="180"/>
        <v>0.22585151785763202</v>
      </c>
      <c r="AV32" s="8">
        <f t="shared" si="180"/>
        <v>0.30186680261758625</v>
      </c>
      <c r="AW32" s="8">
        <f t="shared" si="180"/>
        <v>0.26461270842467011</v>
      </c>
      <c r="AX32" s="8">
        <f t="shared" si="180"/>
        <v>0.27421810445226646</v>
      </c>
      <c r="AY32" s="8">
        <f t="shared" si="180"/>
        <v>0.32109777211457696</v>
      </c>
      <c r="AZ32" s="8">
        <f t="shared" si="180"/>
        <v>0.32032638592380025</v>
      </c>
      <c r="BA32" s="8">
        <f t="shared" si="180"/>
        <v>0.32460547709997989</v>
      </c>
      <c r="BB32" s="8">
        <f t="shared" si="180"/>
        <v>0.32953970005226207</v>
      </c>
      <c r="BC32" s="8">
        <f t="shared" si="180"/>
        <v>0.33359083008367757</v>
      </c>
      <c r="BD32" s="8">
        <f t="shared" si="180"/>
        <v>0.33609130920713542</v>
      </c>
      <c r="BE32" s="8">
        <f t="shared" si="180"/>
        <v>0.33804339676656786</v>
      </c>
      <c r="BF32" s="8">
        <f t="shared" ref="BF32:BJ32" si="181">BF16/BF10</f>
        <v>0.33926413974359554</v>
      </c>
      <c r="BG32" s="8">
        <f t="shared" si="181"/>
        <v>0.33978557756167299</v>
      </c>
      <c r="BH32" s="8">
        <f t="shared" si="181"/>
        <v>0.33897194238413419</v>
      </c>
      <c r="BI32" s="8">
        <f t="shared" si="181"/>
        <v>0.33816542825616558</v>
      </c>
      <c r="BJ32" s="8">
        <f t="shared" si="181"/>
        <v>0.3373662509688497</v>
      </c>
      <c r="BL32" t="s">
        <v>44</v>
      </c>
      <c r="BM32" s="8">
        <v>-0.01</v>
      </c>
    </row>
    <row r="33" spans="2:65" x14ac:dyDescent="0.3">
      <c r="B33" t="s">
        <v>58</v>
      </c>
      <c r="C33" s="8"/>
      <c r="D33" s="8"/>
      <c r="E33" s="8"/>
      <c r="F33" s="8"/>
      <c r="G33" s="8">
        <f t="shared" ref="G33" si="182">G13/C13-1</f>
        <v>0.27828513444951808</v>
      </c>
      <c r="H33" s="8">
        <f t="shared" ref="H33" si="183">H13/D13-1</f>
        <v>0.22579098753595406</v>
      </c>
      <c r="I33" s="8">
        <f t="shared" ref="I33" si="184">I13/E13-1</f>
        <v>0.24423305588585009</v>
      </c>
      <c r="J33" s="8">
        <f t="shared" ref="J33" si="185">J13/F13-1</f>
        <v>0.4013005109150023</v>
      </c>
      <c r="K33" s="8">
        <f t="shared" ref="K33" si="186">K13/G13-1</f>
        <v>0.19646755308592967</v>
      </c>
      <c r="L33" s="8">
        <f t="shared" ref="L33" si="187">L13/H13-1</f>
        <v>0.21490027375831056</v>
      </c>
      <c r="M33" s="8">
        <f t="shared" ref="M33" si="188">M13/I13-1</f>
        <v>0.25267584097859319</v>
      </c>
      <c r="N33" s="8">
        <f t="shared" ref="N33" si="189">N13/J13-1</f>
        <v>0.19688432217434548</v>
      </c>
      <c r="O33" s="8">
        <f t="shared" ref="O33" si="190">O13/K13-1</f>
        <v>0.1311992038480676</v>
      </c>
      <c r="P33" s="8">
        <f t="shared" ref="P33" si="191">P13/L13-1</f>
        <v>0.10655078062127799</v>
      </c>
      <c r="Q33" s="8">
        <f t="shared" ref="Q33" si="192">Q13/M13-1</f>
        <v>4.607873054623135E-2</v>
      </c>
      <c r="R33" s="8">
        <f t="shared" ref="R33" si="193">R13/N13-1</f>
        <v>-2.7693159789532018E-2</v>
      </c>
      <c r="S33" s="8">
        <f t="shared" ref="S33" si="194">S13/O13-1</f>
        <v>9.7507331378299034E-2</v>
      </c>
      <c r="T33" s="8">
        <f t="shared" ref="T33" si="195">T13/P13-1</f>
        <v>8.8727272727272766E-2</v>
      </c>
      <c r="U33" s="8">
        <f t="shared" ref="U33" si="196">U13/Q13-1</f>
        <v>0.12222870478413062</v>
      </c>
      <c r="V33" s="8">
        <f t="shared" ref="V33" si="197">V13/R13-1</f>
        <v>0.24010253489034472</v>
      </c>
      <c r="W33" s="8">
        <f t="shared" ref="W33" si="198">W13/S13-1</f>
        <v>0.21830327321309295</v>
      </c>
      <c r="X33" s="8">
        <f t="shared" ref="X33" si="199">X13/T13-1</f>
        <v>0.31476285905143619</v>
      </c>
      <c r="Y33" s="8">
        <f t="shared" ref="Y33" si="200">Y13/U13-1</f>
        <v>0.33519625682349874</v>
      </c>
      <c r="Z33" s="8">
        <f t="shared" ref="Z33" si="201">Z13/V13-1</f>
        <v>0.17903077629765729</v>
      </c>
      <c r="AA33" s="8">
        <f t="shared" ref="AA33" si="202">AA13/W13-1</f>
        <v>0.25759403443360007</v>
      </c>
      <c r="AB33" s="8">
        <f t="shared" ref="AB33" si="203">AB13/X13-1</f>
        <v>7.590692002845234E-2</v>
      </c>
      <c r="AC33" s="8">
        <f t="shared" ref="AC33" si="204">AC13/Y13-1</f>
        <v>9.5882410201499013E-2</v>
      </c>
      <c r="AD33" s="8">
        <f t="shared" ref="AD33" si="205">AD13/Z13-1</f>
        <v>0.17979935716372841</v>
      </c>
      <c r="AE33" s="8">
        <f t="shared" ref="AE33" si="206">AE13/AA13-1</f>
        <v>3.7931635856295776E-2</v>
      </c>
      <c r="AF33" s="8">
        <f t="shared" ref="AF33" si="207">AF13/AB13-1</f>
        <v>0.12013600302228933</v>
      </c>
      <c r="AG33" s="8">
        <f t="shared" ref="AG33" si="208">AG13/AC13-1</f>
        <v>0.10561378575235381</v>
      </c>
      <c r="AH33" s="8">
        <f t="shared" ref="AH33" si="209">AH13/AD13-1</f>
        <v>8.2803599438619591E-2</v>
      </c>
      <c r="AI33" s="8">
        <f t="shared" ref="AI33" si="210">AI13/AE13-1</f>
        <v>0.13887255313786451</v>
      </c>
      <c r="AJ33" s="8">
        <f t="shared" ref="AJ33" si="211">AJ13/AF13-1</f>
        <v>0.16424957841483989</v>
      </c>
      <c r="AK33" s="8">
        <f t="shared" ref="AK33" si="212">AK13/AG13-1</f>
        <v>0.21724110227364024</v>
      </c>
      <c r="AL33" s="8">
        <f t="shared" ref="AL33" si="213">AL13/AH13-1</f>
        <v>0.41598048185422387</v>
      </c>
      <c r="AM33" s="8"/>
      <c r="AN33" s="8"/>
      <c r="AO33" s="8"/>
      <c r="AP33" s="8"/>
      <c r="AR33" s="8"/>
      <c r="AS33" s="8">
        <f t="shared" ref="AS33:BF35" si="214">AS13/AR13-1</f>
        <v>0.28836090225563904</v>
      </c>
      <c r="AT33" s="8">
        <f t="shared" si="214"/>
        <v>0.21471590643820915</v>
      </c>
      <c r="AU33" s="8">
        <f t="shared" si="214"/>
        <v>5.9766315627642452E-2</v>
      </c>
      <c r="AV33" s="8">
        <f t="shared" si="214"/>
        <v>0.13777971203713779</v>
      </c>
      <c r="AW33" s="8">
        <f t="shared" si="214"/>
        <v>0.25908453397934461</v>
      </c>
      <c r="AX33" s="8">
        <f t="shared" si="214"/>
        <v>0.15005063291139242</v>
      </c>
      <c r="AY33" s="8">
        <f t="shared" si="214"/>
        <v>8.583001298787063E-2</v>
      </c>
      <c r="AZ33" s="8">
        <f t="shared" si="214"/>
        <v>0.23843409155414985</v>
      </c>
      <c r="BA33" s="8">
        <f t="shared" si="214"/>
        <v>9.000000000000008E-2</v>
      </c>
      <c r="BB33" s="8">
        <f t="shared" si="214"/>
        <v>4.0000000000000036E-2</v>
      </c>
      <c r="BC33" s="8">
        <f t="shared" si="214"/>
        <v>3.0000000000000027E-2</v>
      </c>
      <c r="BD33" s="8">
        <f t="shared" si="214"/>
        <v>3.0000000000000027E-2</v>
      </c>
      <c r="BE33" s="8">
        <f t="shared" si="214"/>
        <v>2.0000000000000018E-2</v>
      </c>
      <c r="BF33" s="8">
        <f t="shared" si="214"/>
        <v>2.0000000000000018E-2</v>
      </c>
      <c r="BG33" s="8">
        <f t="shared" ref="BG33" si="215">BG13/BF13-1</f>
        <v>2.0000000000000018E-2</v>
      </c>
      <c r="BH33" s="8">
        <f t="shared" ref="BH33" si="216">BH13/BG13-1</f>
        <v>2.0000000000000018E-2</v>
      </c>
      <c r="BI33" s="8">
        <f t="shared" ref="BI33" si="217">BI13/BH13-1</f>
        <v>2.0000000000000018E-2</v>
      </c>
      <c r="BJ33" s="8">
        <f t="shared" ref="BJ33" si="218">BJ13/BI13-1</f>
        <v>2.0000000000000018E-2</v>
      </c>
      <c r="BL33" t="s">
        <v>45</v>
      </c>
      <c r="BM33" s="8">
        <v>0.05</v>
      </c>
    </row>
    <row r="34" spans="2:65" x14ac:dyDescent="0.3">
      <c r="B34" t="s">
        <v>36</v>
      </c>
      <c r="C34" s="8">
        <f t="shared" ref="C34:F34" si="219">C14/C10</f>
        <v>0.10682828282828283</v>
      </c>
      <c r="D34" s="8">
        <f t="shared" si="219"/>
        <v>0.11138023836985775</v>
      </c>
      <c r="E34" s="8">
        <f t="shared" si="219"/>
        <v>0.10953478323491286</v>
      </c>
      <c r="F34" s="8">
        <f t="shared" si="219"/>
        <v>0.13371804417969718</v>
      </c>
      <c r="G34" s="8">
        <f>G14/G10</f>
        <v>0.11571309317408335</v>
      </c>
      <c r="H34" s="8">
        <f t="shared" ref="H34:R34" si="220">H14/H10</f>
        <v>0.11574853783262394</v>
      </c>
      <c r="I34" s="8">
        <f t="shared" si="220"/>
        <v>0.11407824540604623</v>
      </c>
      <c r="J34" s="8">
        <f t="shared" si="220"/>
        <v>0.12985029025358999</v>
      </c>
      <c r="K34" s="8">
        <f t="shared" si="220"/>
        <v>0.10746030435620132</v>
      </c>
      <c r="L34" s="8">
        <f t="shared" si="220"/>
        <v>0.10815529991783072</v>
      </c>
      <c r="M34" s="8">
        <f t="shared" si="220"/>
        <v>0.11380527914269488</v>
      </c>
      <c r="N34" s="8">
        <f t="shared" si="220"/>
        <v>0.1245360824742268</v>
      </c>
      <c r="O34" s="8">
        <f t="shared" si="220"/>
        <v>0.10933210233484779</v>
      </c>
      <c r="P34" s="8">
        <f t="shared" si="220"/>
        <v>0.10186176462908322</v>
      </c>
      <c r="Q34" s="8">
        <f t="shared" si="220"/>
        <v>9.1633638706603432E-2</v>
      </c>
      <c r="R34" s="8">
        <f t="shared" si="220"/>
        <v>9.3395198425252207E-2</v>
      </c>
      <c r="S34" s="8">
        <f t="shared" ref="S34:V34" si="221">S14/S10</f>
        <v>8.1642983693097582E-2</v>
      </c>
      <c r="T34" s="8">
        <f t="shared" si="221"/>
        <v>8.1642983693097582E-2</v>
      </c>
      <c r="U34" s="8">
        <f t="shared" si="221"/>
        <v>8.4707761294880057E-2</v>
      </c>
      <c r="V34" s="8">
        <f t="shared" si="221"/>
        <v>0.10094922004646532</v>
      </c>
      <c r="W34" s="8">
        <f t="shared" ref="W34:AE34" si="222">W14/W10</f>
        <v>8.5647909896928442E-2</v>
      </c>
      <c r="X34" s="8">
        <f t="shared" si="222"/>
        <v>9.514242663413934E-2</v>
      </c>
      <c r="Y34" s="8">
        <f t="shared" si="222"/>
        <v>0.10028657442250911</v>
      </c>
      <c r="Z34" s="8">
        <f t="shared" si="222"/>
        <v>9.4453503050704823E-2</v>
      </c>
      <c r="AA34" s="8">
        <f t="shared" si="222"/>
        <v>9.3613423703555104E-2</v>
      </c>
      <c r="AB34" s="8">
        <f t="shared" si="222"/>
        <v>9.0893249691705535E-2</v>
      </c>
      <c r="AC34" s="8">
        <f t="shared" si="222"/>
        <v>8.9760473576467215E-2</v>
      </c>
      <c r="AD34" s="8">
        <f t="shared" si="222"/>
        <v>8.9433437608620089E-2</v>
      </c>
      <c r="AE34" s="8">
        <f t="shared" si="222"/>
        <v>7.9787432175716114E-2</v>
      </c>
      <c r="AF34" s="8">
        <f t="shared" ref="AF34:AH34" si="223">AF14/AF10</f>
        <v>8.0149158622642852E-2</v>
      </c>
      <c r="AG34" s="8">
        <f t="shared" si="223"/>
        <v>8.1875651425205059E-2</v>
      </c>
      <c r="AH34" s="8">
        <f t="shared" si="223"/>
        <v>7.6325037058536938E-2</v>
      </c>
      <c r="AI34" s="8">
        <f t="shared" ref="AI34:AL34" si="224">AI14/AI10</f>
        <v>6.8399937939136027E-2</v>
      </c>
      <c r="AJ34" s="8">
        <f t="shared" si="224"/>
        <v>7.3640436387771194E-2</v>
      </c>
      <c r="AK34" s="8">
        <f t="shared" si="224"/>
        <v>7.0398452308834736E-2</v>
      </c>
      <c r="AL34" s="8">
        <f t="shared" si="224"/>
        <v>7.2170292019538257E-2</v>
      </c>
      <c r="AM34" s="8"/>
      <c r="AN34" s="8"/>
      <c r="AO34" s="8"/>
      <c r="AP34" s="8"/>
      <c r="AR34" s="8">
        <f t="shared" ref="AR34:BE34" si="225">AR14/AR10</f>
        <v>0.11640063558556932</v>
      </c>
      <c r="AS34" s="8">
        <f t="shared" si="225"/>
        <v>0.1193766947573071</v>
      </c>
      <c r="AT34" s="8">
        <f t="shared" si="225"/>
        <v>0.11407600536275848</v>
      </c>
      <c r="AU34" s="8">
        <f t="shared" si="225"/>
        <v>9.8319700647027566E-2</v>
      </c>
      <c r="AV34" s="8">
        <f t="shared" si="225"/>
        <v>8.823002258325334E-2</v>
      </c>
      <c r="AW34" s="8">
        <f t="shared" si="225"/>
        <v>9.3930758460733427E-2</v>
      </c>
      <c r="AX34" s="8">
        <f t="shared" si="225"/>
        <v>9.0818298340240869E-2</v>
      </c>
      <c r="AY34" s="8">
        <f t="shared" si="225"/>
        <v>7.94473427080893E-2</v>
      </c>
      <c r="AZ34" s="8">
        <f t="shared" si="225"/>
        <v>7.1227497045944249E-2</v>
      </c>
      <c r="BA34" s="8">
        <f t="shared" si="225"/>
        <v>7.0000000000000007E-2</v>
      </c>
      <c r="BB34" s="8">
        <f t="shared" si="225"/>
        <v>7.0000000000000007E-2</v>
      </c>
      <c r="BC34" s="8">
        <f t="shared" si="225"/>
        <v>7.0000000000000007E-2</v>
      </c>
      <c r="BD34" s="8">
        <f t="shared" si="225"/>
        <v>7.0000000000000007E-2</v>
      </c>
      <c r="BE34" s="8">
        <f t="shared" si="225"/>
        <v>7.0000000000000007E-2</v>
      </c>
      <c r="BF34" s="8">
        <f t="shared" ref="BF34:BJ34" si="226">BF14/BF10</f>
        <v>7.0000000000000007E-2</v>
      </c>
      <c r="BG34" s="8">
        <f t="shared" si="226"/>
        <v>7.0000000000000007E-2</v>
      </c>
      <c r="BH34" s="8">
        <f t="shared" si="226"/>
        <v>7.0000000000000007E-2</v>
      </c>
      <c r="BI34" s="8">
        <f t="shared" si="226"/>
        <v>7.0000000000000007E-2</v>
      </c>
      <c r="BJ34" s="8">
        <f t="shared" si="226"/>
        <v>7.0000000000000007E-2</v>
      </c>
      <c r="BL34" t="s">
        <v>46</v>
      </c>
      <c r="BM34" s="1">
        <f>NPV(BM33,BA20:GO20)</f>
        <v>2968657.6109614405</v>
      </c>
    </row>
    <row r="35" spans="2:65" x14ac:dyDescent="0.3">
      <c r="B35" t="s">
        <v>59</v>
      </c>
      <c r="C35" s="8"/>
      <c r="D35" s="8"/>
      <c r="E35" s="8"/>
      <c r="F35" s="8"/>
      <c r="G35" s="8">
        <f t="shared" ref="G35" si="227">G15/C15-1</f>
        <v>-0.22098833981121602</v>
      </c>
      <c r="H35" s="8">
        <f t="shared" ref="H35" si="228">H15/D15-1</f>
        <v>3.7647058823529367E-2</v>
      </c>
      <c r="I35" s="8">
        <f t="shared" ref="I35" si="229">I15/E15-1</f>
        <v>9.9059561128526541E-2</v>
      </c>
      <c r="J35" s="8">
        <f t="shared" ref="J35" si="230">J15/F15-1</f>
        <v>0.12781531531531543</v>
      </c>
      <c r="K35" s="8">
        <f t="shared" ref="K35" si="231">K15/G15-1</f>
        <v>1.6977904490377762</v>
      </c>
      <c r="L35" s="8">
        <f t="shared" ref="L35" si="232">L15/H15-1</f>
        <v>0.15816326530612246</v>
      </c>
      <c r="M35" s="8">
        <f t="shared" ref="M35" si="233">M15/I15-1</f>
        <v>0.47803764974329721</v>
      </c>
      <c r="N35" s="8">
        <f t="shared" ref="N35" si="234">N15/J15-1</f>
        <v>0.41238142785821275</v>
      </c>
      <c r="O35" s="8">
        <f t="shared" ref="O35" si="235">O15/K15-1</f>
        <v>-0.23910171730515195</v>
      </c>
      <c r="P35" s="8">
        <f t="shared" ref="P35" si="236">P15/L15-1</f>
        <v>0.26529613313754274</v>
      </c>
      <c r="Q35" s="8">
        <f t="shared" ref="Q35" si="237">Q15/M15-1</f>
        <v>6.3681976071015001E-2</v>
      </c>
      <c r="R35" s="8">
        <f t="shared" ref="R35" si="238">R15/N15-1</f>
        <v>7.0696359137500941E-4</v>
      </c>
      <c r="S35" s="8">
        <f t="shared" ref="S35" si="239">S15/O15-1</f>
        <v>-3.7152777777777812E-2</v>
      </c>
      <c r="T35" s="8">
        <f t="shared" ref="T35" si="240">T15/P15-1</f>
        <v>7.2727272727272751E-2</v>
      </c>
      <c r="U35" s="8">
        <f t="shared" ref="U35" si="241">U15/Q15-1</f>
        <v>0.1814223512336719</v>
      </c>
      <c r="V35" s="8">
        <f t="shared" ref="V35" si="242">V15/R15-1</f>
        <v>0.46238078417520301</v>
      </c>
      <c r="W35" s="8">
        <f t="shared" ref="W35" si="243">W15/S15-1</f>
        <v>0.21673278038225741</v>
      </c>
      <c r="X35" s="8">
        <f t="shared" ref="X35" si="244">X15/T15-1</f>
        <v>0.31878831590335377</v>
      </c>
      <c r="Y35" s="8">
        <f t="shared" ref="Y35" si="245">Y15/U15-1</f>
        <v>0.10472972972972983</v>
      </c>
      <c r="Z35" s="8">
        <f t="shared" ref="Z35" si="246">Z15/V15-1</f>
        <v>0.23091787439613531</v>
      </c>
      <c r="AA35" s="8">
        <f t="shared" ref="AA35" si="247">AA15/W15-1</f>
        <v>0.11410788381742742</v>
      </c>
      <c r="AB35" s="8">
        <f t="shared" ref="AB35" si="248">AB15/X15-1</f>
        <v>-4.8126879956248314E-2</v>
      </c>
      <c r="AC35" s="8">
        <f t="shared" ref="AC35" si="249">AC15/Y15-1</f>
        <v>0.10619961078676665</v>
      </c>
      <c r="AD35" s="8">
        <f t="shared" ref="AD35" si="250">AD15/Z15-1</f>
        <v>2.1585557299842906E-2</v>
      </c>
      <c r="AE35" s="8">
        <f t="shared" ref="AE35" si="251">AE15/AA15-1</f>
        <v>-0.19499866985900505</v>
      </c>
      <c r="AF35" s="8">
        <f t="shared" ref="AF35" si="252">AF15/AB15-1</f>
        <v>-9.2789428325193879E-2</v>
      </c>
      <c r="AG35" s="8">
        <f t="shared" ref="AG35" si="253">AG15/AC15-1</f>
        <v>-9.5501382256848455E-2</v>
      </c>
      <c r="AH35" s="8">
        <f t="shared" ref="AH35" si="254">AH15/AD15-1</f>
        <v>-0.153860929696504</v>
      </c>
      <c r="AI35" s="8">
        <f t="shared" ref="AI35" si="255">AI15/AE15-1</f>
        <v>0.16953073364177129</v>
      </c>
      <c r="AJ35" s="8">
        <f t="shared" ref="AJ35" si="256">AJ15/AF15-1</f>
        <v>0.64946168461051301</v>
      </c>
      <c r="AK35" s="8">
        <f t="shared" ref="AK35" si="257">AK15/AG15-1</f>
        <v>1.0541817171436509</v>
      </c>
      <c r="AL35" s="8">
        <f t="shared" ref="AL35" si="258">AL15/AH15-1</f>
        <v>0.21248581157775259</v>
      </c>
      <c r="AM35" s="8"/>
      <c r="AN35" s="8"/>
      <c r="AO35" s="8"/>
      <c r="AP35" s="8"/>
      <c r="AR35" s="8"/>
      <c r="AS35" s="8">
        <f t="shared" si="214"/>
        <v>7.4214202561118103E-3</v>
      </c>
      <c r="AT35" s="8">
        <f t="shared" si="214"/>
        <v>0.3440704896721074</v>
      </c>
      <c r="AU35" s="8">
        <f t="shared" si="214"/>
        <v>0.18774852229983874</v>
      </c>
      <c r="AV35" s="8">
        <f t="shared" si="214"/>
        <v>0.17100977198697076</v>
      </c>
      <c r="AW35" s="8">
        <f t="shared" si="214"/>
        <v>0.21495904806057786</v>
      </c>
      <c r="AX35" s="8">
        <f t="shared" si="214"/>
        <v>4.4581531416942211E-2</v>
      </c>
      <c r="AY35" s="8">
        <f t="shared" si="214"/>
        <v>-0.13619482496194824</v>
      </c>
      <c r="AZ35" s="8">
        <f t="shared" si="214"/>
        <v>0.51409641950944462</v>
      </c>
      <c r="BA35" s="8">
        <f t="shared" si="214"/>
        <v>0.14999999999999991</v>
      </c>
      <c r="BB35" s="8">
        <f t="shared" si="214"/>
        <v>7.0000000000000062E-2</v>
      </c>
      <c r="BC35" s="8">
        <f t="shared" si="214"/>
        <v>3.0000000000000027E-2</v>
      </c>
      <c r="BD35" s="8">
        <f t="shared" si="214"/>
        <v>2.0000000000000018E-2</v>
      </c>
      <c r="BE35" s="8">
        <f t="shared" si="214"/>
        <v>2.0000000000000018E-2</v>
      </c>
      <c r="BF35" s="8">
        <f t="shared" si="214"/>
        <v>2.0000000000000018E-2</v>
      </c>
      <c r="BG35" s="8">
        <f t="shared" ref="BG35" si="259">BG15/BF15-1</f>
        <v>2.0000000000000018E-2</v>
      </c>
      <c r="BH35" s="8">
        <f t="shared" ref="BH35" si="260">BH15/BG15-1</f>
        <v>2.0000000000000018E-2</v>
      </c>
      <c r="BI35" s="8">
        <f t="shared" ref="BI35" si="261">BI15/BH15-1</f>
        <v>2.0000000000000018E-2</v>
      </c>
      <c r="BJ35" s="8">
        <f t="shared" ref="BJ35" si="262">BJ15/BI15-1</f>
        <v>2.0000000000000018E-2</v>
      </c>
      <c r="BL35" t="s">
        <v>47</v>
      </c>
      <c r="BM35" s="1">
        <f>Main!D8</f>
        <v>148983</v>
      </c>
    </row>
    <row r="36" spans="2:65" x14ac:dyDescent="0.3">
      <c r="B36" t="s">
        <v>37</v>
      </c>
      <c r="C36" s="8">
        <f t="shared" ref="C36:F36" si="263">C19/C18</f>
        <v>0.20428215280832968</v>
      </c>
      <c r="D36" s="8">
        <f t="shared" si="263"/>
        <v>0.11992127091241389</v>
      </c>
      <c r="E36" s="8">
        <f t="shared" si="263"/>
        <v>0.15628524877804237</v>
      </c>
      <c r="F36" s="8">
        <f t="shared" si="263"/>
        <v>1.3924561624826541</v>
      </c>
      <c r="G36" s="8">
        <f>G19/G18</f>
        <v>0.10831831546998008</v>
      </c>
      <c r="H36" s="8">
        <f t="shared" ref="H36:R36" si="264">H19/H18</f>
        <v>0.1098427740684902</v>
      </c>
      <c r="I36" s="8">
        <f t="shared" si="264"/>
        <v>8.8366557572151144E-2</v>
      </c>
      <c r="J36" s="8">
        <f t="shared" si="264"/>
        <v>0.11159650516282764</v>
      </c>
      <c r="K36" s="8">
        <f t="shared" si="264"/>
        <v>0.18278909894426712</v>
      </c>
      <c r="L36" s="8">
        <f t="shared" si="264"/>
        <v>0.18111467852144564</v>
      </c>
      <c r="M36" s="8">
        <f t="shared" si="264"/>
        <v>0.1808066759388039</v>
      </c>
      <c r="N36" s="8">
        <f t="shared" si="264"/>
        <v>3.0829596412556052E-3</v>
      </c>
      <c r="O36" s="8">
        <f t="shared" si="264"/>
        <v>0.11873146835116669</v>
      </c>
      <c r="P36" s="8">
        <f t="shared" si="264"/>
        <v>0.15923643832306392</v>
      </c>
      <c r="Q36" s="8">
        <f t="shared" si="264"/>
        <v>0.15496368038740921</v>
      </c>
      <c r="R36" s="8">
        <f t="shared" si="264"/>
        <v>0.18524265610787094</v>
      </c>
      <c r="S36" s="8">
        <f t="shared" ref="S36:V36" si="265">S19/S18</f>
        <v>0.15754357938260583</v>
      </c>
      <c r="T36" s="8">
        <f t="shared" si="265"/>
        <v>0.15754357938260583</v>
      </c>
      <c r="U36" s="8">
        <f t="shared" si="265"/>
        <v>0.17898022892819979</v>
      </c>
      <c r="V36" s="8">
        <f t="shared" si="265"/>
        <v>0.15408573067781328</v>
      </c>
      <c r="W36" s="8">
        <f t="shared" ref="W36:AE36" si="266">W19/W18</f>
        <v>0.13193197422625963</v>
      </c>
      <c r="X36" s="8">
        <f t="shared" si="266"/>
        <v>0.15840959293152415</v>
      </c>
      <c r="Y36" s="8">
        <f t="shared" si="266"/>
        <v>0.14310355448777182</v>
      </c>
      <c r="Z36" s="8">
        <f t="shared" si="266"/>
        <v>0.20545868081880211</v>
      </c>
      <c r="AA36" s="8">
        <f t="shared" si="266"/>
        <v>0.17324910738808019</v>
      </c>
      <c r="AB36" s="8">
        <f t="shared" si="266"/>
        <v>0.16139341642697347</v>
      </c>
      <c r="AC36" s="8">
        <f t="shared" si="266"/>
        <v>7.1142142756050381E-2</v>
      </c>
      <c r="AD36" s="8">
        <f t="shared" si="266"/>
        <v>0.15258889070948714</v>
      </c>
      <c r="AE36" s="8">
        <f t="shared" si="266"/>
        <v>0.16432986049796927</v>
      </c>
      <c r="AF36" s="8">
        <f t="shared" ref="AF36:AH36" si="267">AF19/AF18</f>
        <v>0.14271714275343908</v>
      </c>
      <c r="AG36" s="8">
        <f t="shared" si="267"/>
        <v>0.17047246577934777</v>
      </c>
      <c r="AH36" s="8">
        <f t="shared" si="267"/>
        <v>0.17699965884067859</v>
      </c>
      <c r="AI36" s="8">
        <f t="shared" ref="AI36:AL36" si="268">AI19/AI18</f>
        <v>0.173466701763622</v>
      </c>
      <c r="AJ36" s="8">
        <f t="shared" si="268"/>
        <v>0.16906845843279403</v>
      </c>
      <c r="AK36" s="8">
        <f t="shared" si="268"/>
        <v>0.20478777820719757</v>
      </c>
      <c r="AL36" s="8">
        <f t="shared" si="268"/>
        <v>0.11918091878211519</v>
      </c>
      <c r="AM36" s="8"/>
      <c r="AN36" s="8"/>
      <c r="AO36" s="8"/>
      <c r="AP36" s="8"/>
      <c r="AR36" s="8">
        <f t="shared" ref="AR36:BE36" si="269">AR19/AR18</f>
        <v>0.14515047925464172</v>
      </c>
      <c r="AS36" s="8">
        <f t="shared" si="269"/>
        <v>0.10446678671468587</v>
      </c>
      <c r="AT36" s="8">
        <f t="shared" si="269"/>
        <v>0.12706889915319478</v>
      </c>
      <c r="AU36" s="8">
        <f t="shared" si="269"/>
        <v>0.16158587028457974</v>
      </c>
      <c r="AV36" s="8">
        <f t="shared" si="269"/>
        <v>0.16209792073929269</v>
      </c>
      <c r="AW36" s="8">
        <f t="shared" si="269"/>
        <v>0.1592081650964558</v>
      </c>
      <c r="AX36" s="8">
        <f t="shared" si="269"/>
        <v>0.13908559562280529</v>
      </c>
      <c r="AY36" s="8">
        <f t="shared" si="269"/>
        <v>0.16439510912657013</v>
      </c>
      <c r="AZ36" s="8">
        <f t="shared" si="269"/>
        <v>0.16783146336242177</v>
      </c>
      <c r="BA36" s="8">
        <f t="shared" si="269"/>
        <v>0.16</v>
      </c>
      <c r="BB36" s="8">
        <f t="shared" si="269"/>
        <v>0.16</v>
      </c>
      <c r="BC36" s="8">
        <f t="shared" si="269"/>
        <v>0.16</v>
      </c>
      <c r="BD36" s="8">
        <f t="shared" si="269"/>
        <v>0.16</v>
      </c>
      <c r="BE36" s="8">
        <f t="shared" si="269"/>
        <v>0.16</v>
      </c>
      <c r="BF36" s="8">
        <f t="shared" ref="BF36:BJ36" si="270">BF19/BF18</f>
        <v>0.16</v>
      </c>
      <c r="BG36" s="8">
        <f t="shared" si="270"/>
        <v>0.16</v>
      </c>
      <c r="BH36" s="8">
        <f t="shared" si="270"/>
        <v>0.16</v>
      </c>
      <c r="BI36" s="8">
        <f t="shared" si="270"/>
        <v>0.16</v>
      </c>
      <c r="BJ36" s="8">
        <f t="shared" si="270"/>
        <v>0.15999999999999998</v>
      </c>
      <c r="BL36" t="s">
        <v>48</v>
      </c>
      <c r="BM36" s="1">
        <f>BM34+BM35</f>
        <v>3117640.6109614405</v>
      </c>
    </row>
    <row r="37" spans="2:65" x14ac:dyDescent="0.3">
      <c r="B37" t="s">
        <v>60</v>
      </c>
      <c r="C37" s="8">
        <f>C20/C10</f>
        <v>0.21923232323232322</v>
      </c>
      <c r="D37" s="8">
        <f t="shared" ref="D37:V37" si="271">D20/D10</f>
        <v>0.24067666282199154</v>
      </c>
      <c r="E37" s="8">
        <f t="shared" si="271"/>
        <v>0.24240241970329829</v>
      </c>
      <c r="F37" s="8">
        <f t="shared" si="271"/>
        <v>-9.6518987341772153E-2</v>
      </c>
      <c r="G37" s="8">
        <f t="shared" si="271"/>
        <v>0.30183651191164196</v>
      </c>
      <c r="H37" s="8">
        <f t="shared" si="271"/>
        <v>0.25311571791652632</v>
      </c>
      <c r="I37" s="8">
        <f t="shared" si="271"/>
        <v>0.2724362774155305</v>
      </c>
      <c r="J37" s="8">
        <f t="shared" si="271"/>
        <v>0.22782360729198492</v>
      </c>
      <c r="K37" s="8">
        <f t="shared" si="271"/>
        <v>0.18319161231734502</v>
      </c>
      <c r="L37" s="8">
        <f t="shared" si="271"/>
        <v>0.25541803615447822</v>
      </c>
      <c r="M37" s="8">
        <f t="shared" si="271"/>
        <v>0.17452282772414135</v>
      </c>
      <c r="N37" s="8">
        <f t="shared" si="271"/>
        <v>0.23160065111231687</v>
      </c>
      <c r="O37" s="8">
        <f t="shared" si="271"/>
        <v>0.16608761145800433</v>
      </c>
      <c r="P37" s="8">
        <f t="shared" si="271"/>
        <v>0.1817113612032274</v>
      </c>
      <c r="Q37" s="8">
        <f t="shared" si="271"/>
        <v>0.24943148593333767</v>
      </c>
      <c r="R37" s="8">
        <f t="shared" si="271"/>
        <v>0.26761924847973567</v>
      </c>
      <c r="S37" s="8">
        <f t="shared" si="271"/>
        <v>0.32414940159814876</v>
      </c>
      <c r="T37" s="8">
        <f t="shared" si="271"/>
        <v>0.32414940159814876</v>
      </c>
      <c r="U37" s="8">
        <f t="shared" si="271"/>
        <v>0.29079517184188702</v>
      </c>
      <c r="V37" s="8">
        <f t="shared" si="271"/>
        <v>0.2740391636242947</v>
      </c>
      <c r="W37" s="8">
        <f t="shared" ref="W37:AE37" si="272">W20/W10</f>
        <v>0.24166678919586537</v>
      </c>
      <c r="X37" s="8">
        <f t="shared" si="272"/>
        <v>0.22963335007533903</v>
      </c>
      <c r="Y37" s="8">
        <f t="shared" si="272"/>
        <v>0.20132576854049672</v>
      </c>
      <c r="Z37" s="8">
        <f t="shared" si="272"/>
        <v>0.17915001051967178</v>
      </c>
      <c r="AA37" s="8">
        <f t="shared" si="272"/>
        <v>0.21567054035851949</v>
      </c>
      <c r="AB37" s="8">
        <f t="shared" si="272"/>
        <v>0.2462066377137955</v>
      </c>
      <c r="AC37" s="8">
        <f t="shared" si="272"/>
        <v>0.25672486406842865</v>
      </c>
      <c r="AD37" s="8">
        <f t="shared" si="272"/>
        <v>0.23968253968253969</v>
      </c>
      <c r="AE37" s="8">
        <f t="shared" si="272"/>
        <v>0.29379555246526529</v>
      </c>
      <c r="AF37" s="8">
        <f t="shared" ref="AF37:AH37" si="273">AF20/AF10</f>
        <v>0.27871657501593072</v>
      </c>
      <c r="AG37" s="8">
        <f t="shared" si="273"/>
        <v>0.29796755336022113</v>
      </c>
      <c r="AH37" s="8">
        <f t="shared" si="273"/>
        <v>0.27507282132083882</v>
      </c>
      <c r="AI37" s="8">
        <f t="shared" ref="AI37:AL37" si="274">AI20/AI10</f>
        <v>0.38278254316554733</v>
      </c>
      <c r="AJ37" s="8">
        <f t="shared" si="274"/>
        <v>0.29240469573153027</v>
      </c>
      <c r="AK37" s="8">
        <f t="shared" si="274"/>
        <v>0.34177202821800556</v>
      </c>
      <c r="AL37" s="8">
        <f t="shared" si="274"/>
        <v>0.30269353761816076</v>
      </c>
      <c r="AM37" s="8"/>
      <c r="AN37" s="8"/>
      <c r="AO37" s="8"/>
      <c r="AP37" s="8"/>
      <c r="AR37" s="8">
        <f t="shared" ref="AR37:BE37" si="275">AR20/AR10</f>
        <v>0.23028240222454949</v>
      </c>
      <c r="AS37" s="8">
        <f t="shared" si="275"/>
        <v>0.26171072731126527</v>
      </c>
      <c r="AT37" s="8">
        <f t="shared" si="275"/>
        <v>0.22418554650092365</v>
      </c>
      <c r="AU37" s="8">
        <f t="shared" si="275"/>
        <v>0.22209864841913798</v>
      </c>
      <c r="AV37" s="8">
        <f t="shared" si="275"/>
        <v>0.30046480875927528</v>
      </c>
      <c r="AW37" s="8">
        <f t="shared" si="275"/>
        <v>0.21203807153261961</v>
      </c>
      <c r="AX37" s="8">
        <f t="shared" si="275"/>
        <v>0.24006649446638517</v>
      </c>
      <c r="AY37" s="8">
        <f t="shared" si="275"/>
        <v>0.28603671811164</v>
      </c>
      <c r="AZ37" s="8">
        <f t="shared" si="275"/>
        <v>0.32809877965226542</v>
      </c>
      <c r="BA37" s="8">
        <f t="shared" si="275"/>
        <v>0.28684176788388771</v>
      </c>
      <c r="BB37" s="8">
        <f t="shared" si="275"/>
        <v>0.29014295736460743</v>
      </c>
      <c r="BC37" s="8">
        <f t="shared" si="275"/>
        <v>0.29302292997840401</v>
      </c>
      <c r="BD37" s="8">
        <f t="shared" si="275"/>
        <v>0.2947481284184072</v>
      </c>
      <c r="BE37" s="8">
        <f t="shared" si="275"/>
        <v>0.29614208440053641</v>
      </c>
      <c r="BF37" s="8">
        <f t="shared" ref="BF37:BJ37" si="276">BF20/BF10</f>
        <v>0.29697130707551478</v>
      </c>
      <c r="BG37" s="8">
        <f t="shared" si="276"/>
        <v>0.29725931579504794</v>
      </c>
      <c r="BH37" s="8">
        <f t="shared" si="276"/>
        <v>0.29650993562711842</v>
      </c>
      <c r="BI37" s="8">
        <f t="shared" si="276"/>
        <v>0.29576625726646077</v>
      </c>
      <c r="BJ37" s="8">
        <f t="shared" si="276"/>
        <v>0.29502846502239904</v>
      </c>
      <c r="BL37" t="s">
        <v>49</v>
      </c>
      <c r="BM37" s="2">
        <f>BM36/BE21</f>
        <v>257.72014639674632</v>
      </c>
    </row>
    <row r="38" spans="2:65" x14ac:dyDescent="0.3">
      <c r="BL38" t="s">
        <v>50</v>
      </c>
      <c r="BM38" s="2">
        <f>Main!D3</f>
        <v>329.3</v>
      </c>
    </row>
    <row r="39" spans="2:65" x14ac:dyDescent="0.3">
      <c r="BL39" s="6" t="s">
        <v>51</v>
      </c>
      <c r="BM39" s="10">
        <f>BM37/BM38-1</f>
        <v>-0.2173697345984017</v>
      </c>
    </row>
    <row r="40" spans="2:65" x14ac:dyDescent="0.3">
      <c r="B40" t="s">
        <v>90</v>
      </c>
      <c r="AG40" s="1">
        <v>181269</v>
      </c>
      <c r="AH40" s="1">
        <v>183323</v>
      </c>
      <c r="AJ40" s="1"/>
      <c r="AK40" s="1">
        <v>190167</v>
      </c>
      <c r="AL40" s="1">
        <v>190820</v>
      </c>
      <c r="BL40" t="s">
        <v>52</v>
      </c>
      <c r="BM40" s="5" t="s">
        <v>91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  <ignoredErrors>
    <ignoredError sqref="Z34" formula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</dc:creator>
  <cp:lastModifiedBy>Anton Mniszek</cp:lastModifiedBy>
  <dcterms:created xsi:type="dcterms:W3CDTF">2020-10-14T17:16:18Z</dcterms:created>
  <dcterms:modified xsi:type="dcterms:W3CDTF">2026-02-06T10:36:50Z</dcterms:modified>
</cp:coreProperties>
</file>