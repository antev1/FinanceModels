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17450DC-F468-4BDF-89DA-FA5F8811C1EE}" xr6:coauthVersionLast="47" xr6:coauthVersionMax="47" xr10:uidLastSave="{00000000-0000-0000-0000-000000000000}"/>
  <bookViews>
    <workbookView xWindow="-108" yWindow="-108" windowWidth="23256" windowHeight="12576" activeTab="1" xr2:uid="{20A32264-496F-49BA-BE16-734192C30A8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I28" i="2" l="1"/>
  <c r="AW3" i="2"/>
  <c r="AX3" i="2" s="1"/>
  <c r="BA53" i="2" l="1"/>
  <c r="BB53" i="2" s="1"/>
  <c r="BC53" i="2" s="1"/>
  <c r="BD53" i="2" s="1"/>
  <c r="BE53" i="2" s="1"/>
  <c r="BF53" i="2" s="1"/>
  <c r="AZ53" i="2"/>
  <c r="AY53" i="2"/>
  <c r="AX53" i="2"/>
  <c r="AH15" i="2"/>
  <c r="D7" i="1"/>
  <c r="D6" i="1"/>
  <c r="AH30" i="2"/>
  <c r="AV9" i="2"/>
  <c r="AW9" i="2" s="1"/>
  <c r="AH26" i="2"/>
  <c r="AH31" i="2"/>
  <c r="AG15" i="2"/>
  <c r="AG20" i="2"/>
  <c r="AQ25" i="2"/>
  <c r="AQ24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M25" i="2"/>
  <c r="L25" i="2"/>
  <c r="K25" i="2"/>
  <c r="J25" i="2"/>
  <c r="I25" i="2"/>
  <c r="H25" i="2"/>
  <c r="G25" i="2"/>
  <c r="F25" i="2"/>
  <c r="E25" i="2"/>
  <c r="D25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M24" i="2"/>
  <c r="L24" i="2"/>
  <c r="K24" i="2"/>
  <c r="J24" i="2"/>
  <c r="I24" i="2"/>
  <c r="H24" i="2"/>
  <c r="G24" i="2"/>
  <c r="F24" i="2"/>
  <c r="E24" i="2"/>
  <c r="D24" i="2"/>
  <c r="C25" i="2"/>
  <c r="C24" i="2"/>
  <c r="BI60" i="2"/>
  <c r="AW38" i="2"/>
  <c r="AX38" i="2" s="1"/>
  <c r="AY38" i="2" s="1"/>
  <c r="AZ38" i="2" s="1"/>
  <c r="BA38" i="2" s="1"/>
  <c r="BB38" i="2" s="1"/>
  <c r="BC38" i="2" s="1"/>
  <c r="BD38" i="2" s="1"/>
  <c r="BE38" i="2" s="1"/>
  <c r="BF38" i="2" s="1"/>
  <c r="AW36" i="2"/>
  <c r="AX36" i="2" s="1"/>
  <c r="AY36" i="2" s="1"/>
  <c r="AZ36" i="2" s="1"/>
  <c r="BA36" i="2" s="1"/>
  <c r="BB36" i="2" s="1"/>
  <c r="BC36" i="2" s="1"/>
  <c r="BD36" i="2" s="1"/>
  <c r="BE36" i="2" s="1"/>
  <c r="BF36" i="2" s="1"/>
  <c r="AW37" i="2"/>
  <c r="AX37" i="2" s="1"/>
  <c r="AY37" i="2" s="1"/>
  <c r="AZ37" i="2" s="1"/>
  <c r="BA37" i="2" s="1"/>
  <c r="BB37" i="2" s="1"/>
  <c r="BC37" i="2" s="1"/>
  <c r="BD37" i="2" s="1"/>
  <c r="BE37" i="2" s="1"/>
  <c r="BF37" i="2" s="1"/>
  <c r="AU53" i="2"/>
  <c r="AW53" i="2" s="1"/>
  <c r="AG25" i="2"/>
  <c r="AG26" i="2"/>
  <c r="AG30" i="2"/>
  <c r="AF15" i="2"/>
  <c r="AF20" i="2"/>
  <c r="AF26" i="2"/>
  <c r="AE15" i="2"/>
  <c r="AE20" i="2"/>
  <c r="AE30" i="2"/>
  <c r="AV14" i="2"/>
  <c r="AF12" i="2"/>
  <c r="AF31" i="2"/>
  <c r="AG29" i="2"/>
  <c r="AF29" i="2"/>
  <c r="AE29" i="2"/>
  <c r="AE26" i="2"/>
  <c r="AG24" i="2"/>
  <c r="AF7" i="2"/>
  <c r="AF8" i="2" s="1"/>
  <c r="AU20" i="2"/>
  <c r="AD20" i="2"/>
  <c r="AD15" i="2"/>
  <c r="AU18" i="2"/>
  <c r="AU17" i="2"/>
  <c r="AU14" i="2"/>
  <c r="AD30" i="2"/>
  <c r="AD29" i="2"/>
  <c r="AU6" i="2"/>
  <c r="AQ7" i="2"/>
  <c r="AQ8" i="2" s="1"/>
  <c r="AC7" i="2"/>
  <c r="AC8" i="2" s="1"/>
  <c r="AC27" i="2" s="1"/>
  <c r="AB7" i="2"/>
  <c r="AB8" i="2" s="1"/>
  <c r="AB27" i="2" s="1"/>
  <c r="AA7" i="2"/>
  <c r="AA8" i="2" s="1"/>
  <c r="AA27" i="2" s="1"/>
  <c r="Z7" i="2"/>
  <c r="Z8" i="2" s="1"/>
  <c r="Z27" i="2" s="1"/>
  <c r="Y7" i="2"/>
  <c r="Y8" i="2" s="1"/>
  <c r="Y27" i="2" s="1"/>
  <c r="X7" i="2"/>
  <c r="X8" i="2" s="1"/>
  <c r="X27" i="2" s="1"/>
  <c r="W7" i="2"/>
  <c r="W8" i="2" s="1"/>
  <c r="W27" i="2" s="1"/>
  <c r="V7" i="2"/>
  <c r="V8" i="2" s="1"/>
  <c r="V27" i="2" s="1"/>
  <c r="U7" i="2"/>
  <c r="U8" i="2" s="1"/>
  <c r="T7" i="2"/>
  <c r="T8" i="2" s="1"/>
  <c r="T27" i="2" s="1"/>
  <c r="S7" i="2"/>
  <c r="S8" i="2" s="1"/>
  <c r="R7" i="2"/>
  <c r="R8" i="2" s="1"/>
  <c r="Q7" i="2"/>
  <c r="Q8" i="2" s="1"/>
  <c r="P7" i="2"/>
  <c r="P8" i="2" s="1"/>
  <c r="O7" i="2"/>
  <c r="O8" i="2" s="1"/>
  <c r="M7" i="2"/>
  <c r="M8" i="2" s="1"/>
  <c r="L7" i="2"/>
  <c r="L8" i="2" s="1"/>
  <c r="K7" i="2"/>
  <c r="K8" i="2" s="1"/>
  <c r="J7" i="2"/>
  <c r="J8" i="2" s="1"/>
  <c r="I7" i="2"/>
  <c r="I8" i="2" s="1"/>
  <c r="H7" i="2"/>
  <c r="H8" i="2" s="1"/>
  <c r="G7" i="2"/>
  <c r="G8" i="2" s="1"/>
  <c r="F7" i="2"/>
  <c r="F8" i="2" s="1"/>
  <c r="E7" i="2"/>
  <c r="E8" i="2" s="1"/>
  <c r="D7" i="2"/>
  <c r="D8" i="2" s="1"/>
  <c r="C7" i="2"/>
  <c r="C8" i="2" s="1"/>
  <c r="AU3" i="2"/>
  <c r="AT18" i="2"/>
  <c r="AT17" i="2"/>
  <c r="AT14" i="2"/>
  <c r="AT11" i="2"/>
  <c r="AT10" i="2"/>
  <c r="AT9" i="2"/>
  <c r="AT6" i="2"/>
  <c r="AT5" i="2"/>
  <c r="AT4" i="2"/>
  <c r="AT3" i="2"/>
  <c r="AS18" i="2"/>
  <c r="AS17" i="2"/>
  <c r="AS14" i="2"/>
  <c r="AS11" i="2"/>
  <c r="AS10" i="2"/>
  <c r="AS9" i="2"/>
  <c r="AS6" i="2"/>
  <c r="AS5" i="2"/>
  <c r="AS4" i="2"/>
  <c r="AS3" i="2"/>
  <c r="AQ12" i="2"/>
  <c r="AR15" i="2"/>
  <c r="R12" i="2"/>
  <c r="AC20" i="2"/>
  <c r="O12" i="2"/>
  <c r="M12" i="2"/>
  <c r="L12" i="2"/>
  <c r="K12" i="2"/>
  <c r="J12" i="2"/>
  <c r="I12" i="2"/>
  <c r="H12" i="2"/>
  <c r="G12" i="2"/>
  <c r="F12" i="2"/>
  <c r="E12" i="2"/>
  <c r="D12" i="2"/>
  <c r="C12" i="2"/>
  <c r="S15" i="2"/>
  <c r="S12" i="2"/>
  <c r="P12" i="2"/>
  <c r="P30" i="2"/>
  <c r="T15" i="2"/>
  <c r="T12" i="2"/>
  <c r="Q12" i="2"/>
  <c r="U15" i="2"/>
  <c r="U12" i="2"/>
  <c r="V15" i="2"/>
  <c r="V12" i="2"/>
  <c r="Z15" i="2"/>
  <c r="Z12" i="2"/>
  <c r="W15" i="2"/>
  <c r="W12" i="2"/>
  <c r="AA15" i="2"/>
  <c r="AA12" i="2"/>
  <c r="X15" i="2"/>
  <c r="X12" i="2"/>
  <c r="AB15" i="2"/>
  <c r="AB12" i="2"/>
  <c r="Y15" i="2"/>
  <c r="Y12" i="2"/>
  <c r="AC15" i="2"/>
  <c r="AC12" i="2"/>
  <c r="AC31" i="2"/>
  <c r="AB31" i="2"/>
  <c r="AA31" i="2"/>
  <c r="Z31" i="2"/>
  <c r="Y31" i="2"/>
  <c r="X31" i="2"/>
  <c r="W31" i="2"/>
  <c r="V31" i="2"/>
  <c r="U31" i="2"/>
  <c r="T31" i="2"/>
  <c r="S31" i="2"/>
  <c r="AC30" i="2"/>
  <c r="AB30" i="2"/>
  <c r="AA30" i="2"/>
  <c r="Z30" i="2"/>
  <c r="Y30" i="2"/>
  <c r="X30" i="2"/>
  <c r="W30" i="2"/>
  <c r="U30" i="2"/>
  <c r="T30" i="2"/>
  <c r="S30" i="2"/>
  <c r="AC29" i="2"/>
  <c r="AB29" i="2"/>
  <c r="AA29" i="2"/>
  <c r="Z29" i="2"/>
  <c r="Y29" i="2"/>
  <c r="X29" i="2"/>
  <c r="W29" i="2"/>
  <c r="U29" i="2"/>
  <c r="T29" i="2"/>
  <c r="S29" i="2"/>
  <c r="AD26" i="2"/>
  <c r="AC26" i="2"/>
  <c r="AB26" i="2"/>
  <c r="AA26" i="2"/>
  <c r="Z26" i="2"/>
  <c r="Y26" i="2"/>
  <c r="X26" i="2"/>
  <c r="W26" i="2"/>
  <c r="U26" i="2"/>
  <c r="T26" i="2"/>
  <c r="S26" i="2"/>
  <c r="AD23" i="2"/>
  <c r="AC23" i="2"/>
  <c r="AB23" i="2"/>
  <c r="AA23" i="2"/>
  <c r="Z23" i="2"/>
  <c r="Y23" i="2"/>
  <c r="X23" i="2"/>
  <c r="W23" i="2"/>
  <c r="U23" i="2"/>
  <c r="T23" i="2"/>
  <c r="S23" i="2"/>
  <c r="Q30" i="2"/>
  <c r="Q29" i="2"/>
  <c r="P29" i="2"/>
  <c r="O29" i="2"/>
  <c r="AR18" i="2"/>
  <c r="AR14" i="2"/>
  <c r="O26" i="2"/>
  <c r="P26" i="2"/>
  <c r="AS25" i="2" l="1"/>
  <c r="AT24" i="2"/>
  <c r="AS24" i="2"/>
  <c r="AT25" i="2"/>
  <c r="AV3" i="2"/>
  <c r="AX5" i="2" s="1"/>
  <c r="AX25" i="2" s="1"/>
  <c r="AH25" i="2"/>
  <c r="AH29" i="2"/>
  <c r="AV15" i="2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AH12" i="2"/>
  <c r="AG12" i="2"/>
  <c r="AG7" i="2"/>
  <c r="AG8" i="2" s="1"/>
  <c r="AX9" i="2"/>
  <c r="AV10" i="2"/>
  <c r="AW10" i="2" s="1"/>
  <c r="AX10" i="2" s="1"/>
  <c r="AY10" i="2" s="1"/>
  <c r="AZ10" i="2" s="1"/>
  <c r="AF30" i="2"/>
  <c r="AV6" i="2"/>
  <c r="AW6" i="2" s="1"/>
  <c r="AX6" i="2" s="1"/>
  <c r="AY6" i="2" s="1"/>
  <c r="AZ6" i="2" s="1"/>
  <c r="BA6" i="2" s="1"/>
  <c r="AF13" i="2"/>
  <c r="AF16" i="2" s="1"/>
  <c r="AE12" i="2"/>
  <c r="AE23" i="2"/>
  <c r="AH24" i="2"/>
  <c r="AG31" i="2"/>
  <c r="AG23" i="2"/>
  <c r="AH23" i="2"/>
  <c r="AF23" i="2"/>
  <c r="AF27" i="2"/>
  <c r="AU15" i="2"/>
  <c r="AS7" i="2"/>
  <c r="AS8" i="2" s="1"/>
  <c r="AU11" i="2"/>
  <c r="AQ13" i="2"/>
  <c r="AU5" i="2"/>
  <c r="AU25" i="2" s="1"/>
  <c r="AD12" i="2"/>
  <c r="AU9" i="2"/>
  <c r="AU10" i="2"/>
  <c r="AT7" i="2"/>
  <c r="AT8" i="2" s="1"/>
  <c r="AS15" i="2"/>
  <c r="AU4" i="2"/>
  <c r="AU24" i="2" s="1"/>
  <c r="AT15" i="2"/>
  <c r="R13" i="2"/>
  <c r="R16" i="2" s="1"/>
  <c r="R19" i="2" s="1"/>
  <c r="H13" i="2"/>
  <c r="D13" i="2"/>
  <c r="O13" i="2"/>
  <c r="S13" i="2"/>
  <c r="S16" i="2" s="1"/>
  <c r="S27" i="2"/>
  <c r="P13" i="2"/>
  <c r="P16" i="2" s="1"/>
  <c r="P19" i="2" s="1"/>
  <c r="T13" i="2"/>
  <c r="Q13" i="2"/>
  <c r="Q16" i="2" s="1"/>
  <c r="Q19" i="2" s="1"/>
  <c r="U13" i="2"/>
  <c r="U16" i="2" s="1"/>
  <c r="U27" i="2"/>
  <c r="V13" i="2"/>
  <c r="Z13" i="2"/>
  <c r="W13" i="2"/>
  <c r="AA13" i="2"/>
  <c r="AA28" i="2" s="1"/>
  <c r="X13" i="2"/>
  <c r="AB13" i="2"/>
  <c r="Y13" i="2"/>
  <c r="Y16" i="2" s="1"/>
  <c r="AC13" i="2"/>
  <c r="Q26" i="2"/>
  <c r="O30" i="2"/>
  <c r="Q31" i="2"/>
  <c r="Q23" i="2"/>
  <c r="P23" i="2"/>
  <c r="P31" i="2"/>
  <c r="O27" i="2"/>
  <c r="O31" i="2"/>
  <c r="O23" i="2"/>
  <c r="N18" i="2"/>
  <c r="N17" i="2"/>
  <c r="N15" i="2"/>
  <c r="N14" i="2"/>
  <c r="N11" i="2"/>
  <c r="N10" i="2"/>
  <c r="V30" i="2" s="1"/>
  <c r="N9" i="2"/>
  <c r="N6" i="2"/>
  <c r="N5" i="2"/>
  <c r="N4" i="2"/>
  <c r="N3" i="2"/>
  <c r="AP18" i="2"/>
  <c r="AP17" i="2"/>
  <c r="AP15" i="2"/>
  <c r="AP14" i="2"/>
  <c r="AP11" i="2"/>
  <c r="AP10" i="2"/>
  <c r="AP9" i="2"/>
  <c r="AP6" i="2"/>
  <c r="AP5" i="2"/>
  <c r="AP4" i="2"/>
  <c r="AP3" i="2"/>
  <c r="AO18" i="2"/>
  <c r="AO17" i="2"/>
  <c r="AO15" i="2"/>
  <c r="AO14" i="2"/>
  <c r="AO11" i="2"/>
  <c r="AO10" i="2"/>
  <c r="AO9" i="2"/>
  <c r="AO6" i="2"/>
  <c r="AO5" i="2"/>
  <c r="AO4" i="2"/>
  <c r="AO3" i="2"/>
  <c r="M30" i="2"/>
  <c r="L30" i="2"/>
  <c r="K30" i="2"/>
  <c r="J30" i="2"/>
  <c r="I30" i="2"/>
  <c r="H30" i="2"/>
  <c r="G30" i="2"/>
  <c r="M29" i="2"/>
  <c r="L29" i="2"/>
  <c r="K29" i="2"/>
  <c r="J29" i="2"/>
  <c r="I29" i="2"/>
  <c r="H29" i="2"/>
  <c r="G29" i="2"/>
  <c r="M26" i="2"/>
  <c r="L26" i="2"/>
  <c r="K26" i="2"/>
  <c r="J26" i="2"/>
  <c r="I26" i="2"/>
  <c r="H26" i="2"/>
  <c r="G26" i="2"/>
  <c r="L31" i="2"/>
  <c r="K31" i="2"/>
  <c r="J31" i="2"/>
  <c r="I31" i="2"/>
  <c r="H31" i="2"/>
  <c r="G31" i="2"/>
  <c r="F31" i="2"/>
  <c r="E31" i="2"/>
  <c r="D31" i="2"/>
  <c r="C31" i="2"/>
  <c r="L23" i="2"/>
  <c r="K23" i="2"/>
  <c r="J23" i="2"/>
  <c r="I23" i="2"/>
  <c r="H23" i="2"/>
  <c r="G23" i="2"/>
  <c r="M13" i="2"/>
  <c r="L13" i="2"/>
  <c r="L27" i="2"/>
  <c r="K27" i="2"/>
  <c r="J27" i="2"/>
  <c r="I13" i="2"/>
  <c r="I27" i="2"/>
  <c r="H27" i="2"/>
  <c r="G27" i="2"/>
  <c r="F27" i="2"/>
  <c r="E27" i="2"/>
  <c r="D27" i="2"/>
  <c r="C13" i="2"/>
  <c r="C27" i="2"/>
  <c r="BI32" i="2"/>
  <c r="D8" i="1"/>
  <c r="AW14" i="2"/>
  <c r="AX14" i="2" s="1"/>
  <c r="AY14" i="2" s="1"/>
  <c r="AZ14" i="2" s="1"/>
  <c r="BA14" i="2" s="1"/>
  <c r="BB14" i="2" s="1"/>
  <c r="BC14" i="2" s="1"/>
  <c r="BD14" i="2" s="1"/>
  <c r="BE14" i="2" s="1"/>
  <c r="BF14" i="2" s="1"/>
  <c r="AX4" i="2" l="1"/>
  <c r="AX24" i="2" s="1"/>
  <c r="AW11" i="2"/>
  <c r="AW5" i="2"/>
  <c r="AW25" i="2" s="1"/>
  <c r="AW4" i="2"/>
  <c r="AW24" i="2" s="1"/>
  <c r="AY3" i="2"/>
  <c r="AY4" i="2" s="1"/>
  <c r="AY24" i="2" s="1"/>
  <c r="AO24" i="2"/>
  <c r="AO25" i="2"/>
  <c r="AP25" i="2"/>
  <c r="AP24" i="2"/>
  <c r="R21" i="2"/>
  <c r="R33" i="2"/>
  <c r="Q21" i="2"/>
  <c r="Q33" i="2"/>
  <c r="N24" i="2"/>
  <c r="N25" i="2"/>
  <c r="P21" i="2"/>
  <c r="P33" i="2"/>
  <c r="AG13" i="2"/>
  <c r="AG16" i="2" s="1"/>
  <c r="AG27" i="2"/>
  <c r="BI29" i="2"/>
  <c r="BI57" i="2"/>
  <c r="AV26" i="2"/>
  <c r="BA10" i="2"/>
  <c r="BB10" i="2" s="1"/>
  <c r="BC10" i="2" s="1"/>
  <c r="BD10" i="2" s="1"/>
  <c r="BE10" i="2" s="1"/>
  <c r="BF10" i="2" s="1"/>
  <c r="AF28" i="2"/>
  <c r="AF32" i="2"/>
  <c r="AV4" i="2"/>
  <c r="AV24" i="2" s="1"/>
  <c r="AV11" i="2"/>
  <c r="AE31" i="2"/>
  <c r="AV5" i="2"/>
  <c r="AV25" i="2" s="1"/>
  <c r="AE7" i="2"/>
  <c r="AE8" i="2" s="1"/>
  <c r="AE27" i="2" s="1"/>
  <c r="AZ3" i="2"/>
  <c r="AH7" i="2"/>
  <c r="AH8" i="2" s="1"/>
  <c r="AX11" i="2"/>
  <c r="AD31" i="2"/>
  <c r="AW26" i="2"/>
  <c r="AO12" i="2"/>
  <c r="AP7" i="2"/>
  <c r="AP8" i="2" s="1"/>
  <c r="AP12" i="2"/>
  <c r="N7" i="2"/>
  <c r="N8" i="2" s="1"/>
  <c r="N27" i="2" s="1"/>
  <c r="AO7" i="2"/>
  <c r="AO8" i="2" s="1"/>
  <c r="AD7" i="2"/>
  <c r="AD8" i="2" s="1"/>
  <c r="V23" i="2"/>
  <c r="V29" i="2"/>
  <c r="N12" i="2"/>
  <c r="S28" i="2"/>
  <c r="S32" i="2"/>
  <c r="S19" i="2"/>
  <c r="T16" i="2"/>
  <c r="T28" i="2"/>
  <c r="U28" i="2"/>
  <c r="U32" i="2"/>
  <c r="U19" i="2"/>
  <c r="V28" i="2"/>
  <c r="V16" i="2"/>
  <c r="Z16" i="2"/>
  <c r="Z28" i="2"/>
  <c r="W16" i="2"/>
  <c r="W28" i="2"/>
  <c r="AA16" i="2"/>
  <c r="AA19" i="2" s="1"/>
  <c r="X28" i="2"/>
  <c r="X16" i="2"/>
  <c r="AB16" i="2"/>
  <c r="AB28" i="2"/>
  <c r="Y28" i="2"/>
  <c r="Y19" i="2"/>
  <c r="Y32" i="2"/>
  <c r="AC16" i="2"/>
  <c r="AC32" i="2" s="1"/>
  <c r="AC28" i="2"/>
  <c r="K13" i="2"/>
  <c r="J13" i="2"/>
  <c r="E13" i="2"/>
  <c r="F13" i="2"/>
  <c r="R29" i="2"/>
  <c r="G13" i="2"/>
  <c r="R30" i="2"/>
  <c r="Q32" i="2"/>
  <c r="Q27" i="2"/>
  <c r="P28" i="2"/>
  <c r="AR10" i="2"/>
  <c r="AR9" i="2"/>
  <c r="P27" i="2"/>
  <c r="N26" i="2"/>
  <c r="V26" i="2"/>
  <c r="O28" i="2"/>
  <c r="O16" i="2"/>
  <c r="AP31" i="2"/>
  <c r="AQ29" i="2"/>
  <c r="AP30" i="2"/>
  <c r="AP29" i="2"/>
  <c r="AP26" i="2"/>
  <c r="AO31" i="2"/>
  <c r="AP23" i="2"/>
  <c r="N29" i="2"/>
  <c r="N31" i="2"/>
  <c r="N23" i="2"/>
  <c r="M16" i="2"/>
  <c r="M19" i="2" s="1"/>
  <c r="M23" i="2"/>
  <c r="M31" i="2"/>
  <c r="M27" i="2"/>
  <c r="D5" i="1"/>
  <c r="D9" i="1" s="1"/>
  <c r="F3" i="1"/>
  <c r="AY5" i="2" l="1"/>
  <c r="AY25" i="2" s="1"/>
  <c r="Y21" i="2"/>
  <c r="Y33" i="2"/>
  <c r="M21" i="2"/>
  <c r="M33" i="2"/>
  <c r="S21" i="2"/>
  <c r="S33" i="2"/>
  <c r="U21" i="2"/>
  <c r="U33" i="2"/>
  <c r="AA21" i="2"/>
  <c r="AA33" i="2"/>
  <c r="AG19" i="2"/>
  <c r="AG28" i="2"/>
  <c r="AZ5" i="2"/>
  <c r="AZ25" i="2" s="1"/>
  <c r="AF19" i="2"/>
  <c r="AH27" i="2"/>
  <c r="AH13" i="2"/>
  <c r="AE13" i="2"/>
  <c r="AE28" i="2" s="1"/>
  <c r="BA3" i="2"/>
  <c r="AZ4" i="2"/>
  <c r="AZ24" i="2" s="1"/>
  <c r="AO13" i="2"/>
  <c r="AX26" i="2"/>
  <c r="AD27" i="2"/>
  <c r="AD13" i="2"/>
  <c r="AP13" i="2"/>
  <c r="AP27" i="2"/>
  <c r="AY9" i="2"/>
  <c r="AZ9" i="2" s="1"/>
  <c r="BA9" i="2" s="1"/>
  <c r="BB9" i="2" s="1"/>
  <c r="BC9" i="2" s="1"/>
  <c r="BD9" i="2" s="1"/>
  <c r="BE9" i="2" s="1"/>
  <c r="BF9" i="2" s="1"/>
  <c r="AO27" i="2"/>
  <c r="R27" i="2"/>
  <c r="AR5" i="2"/>
  <c r="AR3" i="2"/>
  <c r="R23" i="2"/>
  <c r="R31" i="2"/>
  <c r="T19" i="2"/>
  <c r="T32" i="2"/>
  <c r="V19" i="2"/>
  <c r="V32" i="2"/>
  <c r="Z19" i="2"/>
  <c r="Z32" i="2"/>
  <c r="W32" i="2"/>
  <c r="W19" i="2"/>
  <c r="AA32" i="2"/>
  <c r="X19" i="2"/>
  <c r="X32" i="2"/>
  <c r="AB19" i="2"/>
  <c r="AB32" i="2"/>
  <c r="AC19" i="2"/>
  <c r="AO16" i="2"/>
  <c r="AP16" i="2"/>
  <c r="Q28" i="2"/>
  <c r="P32" i="2"/>
  <c r="AR11" i="2"/>
  <c r="AR12" i="2" s="1"/>
  <c r="R26" i="2"/>
  <c r="AR6" i="2"/>
  <c r="O19" i="2"/>
  <c r="AR29" i="2"/>
  <c r="AT29" i="2"/>
  <c r="AS29" i="2"/>
  <c r="AV29" i="2"/>
  <c r="AW29" i="2"/>
  <c r="AX29" i="2"/>
  <c r="AQ26" i="2"/>
  <c r="N13" i="2"/>
  <c r="N30" i="2"/>
  <c r="F16" i="2"/>
  <c r="F28" i="2"/>
  <c r="H16" i="2"/>
  <c r="H28" i="2"/>
  <c r="I16" i="2"/>
  <c r="I28" i="2"/>
  <c r="J16" i="2"/>
  <c r="J28" i="2"/>
  <c r="G16" i="2"/>
  <c r="G28" i="2"/>
  <c r="K16" i="2"/>
  <c r="K28" i="2"/>
  <c r="C16" i="2"/>
  <c r="C28" i="2"/>
  <c r="L16" i="2"/>
  <c r="L28" i="2"/>
  <c r="D16" i="2"/>
  <c r="D28" i="2"/>
  <c r="E16" i="2"/>
  <c r="E28" i="2"/>
  <c r="W21" i="2" l="1"/>
  <c r="W33" i="2"/>
  <c r="O21" i="2"/>
  <c r="O33" i="2"/>
  <c r="AC21" i="2"/>
  <c r="AC33" i="2"/>
  <c r="AR25" i="2"/>
  <c r="AF21" i="2"/>
  <c r="AF33" i="2"/>
  <c r="Z21" i="2"/>
  <c r="Z33" i="2"/>
  <c r="AB21" i="2"/>
  <c r="AB33" i="2"/>
  <c r="V21" i="2"/>
  <c r="V33" i="2"/>
  <c r="X21" i="2"/>
  <c r="X33" i="2"/>
  <c r="AG21" i="2"/>
  <c r="AG33" i="2"/>
  <c r="T21" i="2"/>
  <c r="T33" i="2"/>
  <c r="AG32" i="2"/>
  <c r="BA5" i="2"/>
  <c r="BA25" i="2" s="1"/>
  <c r="AH16" i="2"/>
  <c r="AH28" i="2"/>
  <c r="AE16" i="2"/>
  <c r="BB3" i="2"/>
  <c r="BA4" i="2"/>
  <c r="BA24" i="2" s="1"/>
  <c r="AY11" i="2"/>
  <c r="AY26" i="2"/>
  <c r="AZ11" i="2"/>
  <c r="AD16" i="2"/>
  <c r="AD28" i="2"/>
  <c r="AU29" i="2"/>
  <c r="AS12" i="2"/>
  <c r="BB29" i="2"/>
  <c r="AR4" i="2"/>
  <c r="AR24" i="2" s="1"/>
  <c r="AT12" i="2"/>
  <c r="O32" i="2"/>
  <c r="AP28" i="2"/>
  <c r="AY29" i="2"/>
  <c r="BA29" i="2"/>
  <c r="AZ29" i="2"/>
  <c r="AO28" i="2"/>
  <c r="AQ30" i="2"/>
  <c r="AR26" i="2"/>
  <c r="F19" i="2"/>
  <c r="F32" i="2"/>
  <c r="D19" i="2"/>
  <c r="D32" i="2"/>
  <c r="E19" i="2"/>
  <c r="E32" i="2"/>
  <c r="K19" i="2"/>
  <c r="K32" i="2"/>
  <c r="G19" i="2"/>
  <c r="G32" i="2"/>
  <c r="J19" i="2"/>
  <c r="J32" i="2"/>
  <c r="C19" i="2"/>
  <c r="C32" i="2"/>
  <c r="I19" i="2"/>
  <c r="I32" i="2"/>
  <c r="L19" i="2"/>
  <c r="L32" i="2"/>
  <c r="H19" i="2"/>
  <c r="H32" i="2"/>
  <c r="N16" i="2"/>
  <c r="N28" i="2"/>
  <c r="M28" i="2"/>
  <c r="AP32" i="2"/>
  <c r="AP19" i="2"/>
  <c r="AQ23" i="2"/>
  <c r="AQ27" i="2"/>
  <c r="AO32" i="2"/>
  <c r="AO19" i="2"/>
  <c r="AQ31" i="2"/>
  <c r="M32" i="2"/>
  <c r="C21" i="2" l="1"/>
  <c r="C33" i="2"/>
  <c r="E21" i="2"/>
  <c r="E33" i="2"/>
  <c r="I21" i="2"/>
  <c r="I33" i="2"/>
  <c r="K21" i="2"/>
  <c r="K33" i="2"/>
  <c r="H21" i="2"/>
  <c r="H33" i="2"/>
  <c r="D21" i="2"/>
  <c r="D33" i="2"/>
  <c r="AO21" i="2"/>
  <c r="AO33" i="2"/>
  <c r="J21" i="2"/>
  <c r="J33" i="2"/>
  <c r="AP21" i="2"/>
  <c r="AP33" i="2"/>
  <c r="L21" i="2"/>
  <c r="L33" i="2"/>
  <c r="G21" i="2"/>
  <c r="G33" i="2"/>
  <c r="F21" i="2"/>
  <c r="F33" i="2"/>
  <c r="BB5" i="2"/>
  <c r="BB25" i="2" s="1"/>
  <c r="AV18" i="2"/>
  <c r="AH32" i="2"/>
  <c r="AE32" i="2"/>
  <c r="BC3" i="2"/>
  <c r="BB4" i="2"/>
  <c r="BB24" i="2" s="1"/>
  <c r="AZ26" i="2"/>
  <c r="BA11" i="2"/>
  <c r="AD32" i="2"/>
  <c r="AD19" i="2"/>
  <c r="AR7" i="2"/>
  <c r="AR8" i="2" s="1"/>
  <c r="AR13" i="2" s="1"/>
  <c r="BC29" i="2"/>
  <c r="R28" i="2"/>
  <c r="AR30" i="2"/>
  <c r="AS26" i="2"/>
  <c r="N19" i="2"/>
  <c r="N32" i="2"/>
  <c r="AR23" i="2"/>
  <c r="AD21" i="2" l="1"/>
  <c r="AD33" i="2"/>
  <c r="N21" i="2"/>
  <c r="N33" i="2"/>
  <c r="BC5" i="2"/>
  <c r="BC25" i="2" s="1"/>
  <c r="AH19" i="2"/>
  <c r="AE19" i="2"/>
  <c r="AV17" i="2"/>
  <c r="BC4" i="2"/>
  <c r="BC24" i="2" s="1"/>
  <c r="BB6" i="2"/>
  <c r="BA26" i="2"/>
  <c r="BB11" i="2"/>
  <c r="AU12" i="2"/>
  <c r="BD29" i="2"/>
  <c r="R32" i="2"/>
  <c r="AR17" i="2"/>
  <c r="AT26" i="2"/>
  <c r="AS30" i="2"/>
  <c r="AQ16" i="2"/>
  <c r="AQ28" i="2"/>
  <c r="AS23" i="2"/>
  <c r="AR31" i="2"/>
  <c r="AE21" i="2" l="1"/>
  <c r="AE33" i="2"/>
  <c r="AH21" i="2"/>
  <c r="AH33" i="2"/>
  <c r="BC6" i="2"/>
  <c r="BB26" i="2"/>
  <c r="AV12" i="2"/>
  <c r="BE29" i="2"/>
  <c r="BF29" i="2"/>
  <c r="AT30" i="2"/>
  <c r="AU26" i="2"/>
  <c r="AS31" i="2"/>
  <c r="AT23" i="2"/>
  <c r="AQ32" i="2"/>
  <c r="AQ19" i="2"/>
  <c r="AQ21" i="2" l="1"/>
  <c r="AQ33" i="2"/>
  <c r="BD6" i="2"/>
  <c r="BC26" i="2"/>
  <c r="AU30" i="2"/>
  <c r="AU23" i="2"/>
  <c r="AT31" i="2"/>
  <c r="BE6" i="2" l="1"/>
  <c r="BD26" i="2"/>
  <c r="AV30" i="2"/>
  <c r="AV23" i="2"/>
  <c r="AU31" i="2"/>
  <c r="BF6" i="2" l="1"/>
  <c r="BF26" i="2" s="1"/>
  <c r="BE26" i="2"/>
  <c r="AW12" i="2"/>
  <c r="AW30" i="2"/>
  <c r="AV31" i="2"/>
  <c r="AW23" i="2"/>
  <c r="AX12" i="2" l="1"/>
  <c r="AX30" i="2"/>
  <c r="AW31" i="2"/>
  <c r="AX23" i="2"/>
  <c r="AY12" i="2" l="1"/>
  <c r="BB23" i="2"/>
  <c r="AY30" i="2"/>
  <c r="AY23" i="2"/>
  <c r="AX31" i="2"/>
  <c r="BC11" i="2" l="1"/>
  <c r="BD3" i="2"/>
  <c r="AZ12" i="2"/>
  <c r="BB31" i="2"/>
  <c r="BC23" i="2"/>
  <c r="AZ30" i="2"/>
  <c r="AZ23" i="2"/>
  <c r="AY31" i="2"/>
  <c r="BD5" i="2" l="1"/>
  <c r="BD25" i="2" s="1"/>
  <c r="BD4" i="2"/>
  <c r="BD24" i="2" s="1"/>
  <c r="BD11" i="2"/>
  <c r="BE3" i="2"/>
  <c r="BA12" i="2"/>
  <c r="BA30" i="2"/>
  <c r="BC31" i="2"/>
  <c r="BD23" i="2"/>
  <c r="BA23" i="2"/>
  <c r="AZ31" i="2"/>
  <c r="BE5" i="2" l="1"/>
  <c r="BE25" i="2" s="1"/>
  <c r="BE4" i="2"/>
  <c r="BE24" i="2" s="1"/>
  <c r="BE11" i="2"/>
  <c r="BF3" i="2"/>
  <c r="BB30" i="2"/>
  <c r="BB12" i="2"/>
  <c r="BD31" i="2"/>
  <c r="BE23" i="2"/>
  <c r="BA31" i="2"/>
  <c r="BF5" i="2" l="1"/>
  <c r="BF25" i="2" s="1"/>
  <c r="BF4" i="2"/>
  <c r="BF24" i="2" s="1"/>
  <c r="BF11" i="2"/>
  <c r="BC30" i="2"/>
  <c r="BC12" i="2"/>
  <c r="BE31" i="2"/>
  <c r="BF23" i="2"/>
  <c r="BD30" i="2" l="1"/>
  <c r="BD12" i="2"/>
  <c r="BF31" i="2"/>
  <c r="BE30" i="2" l="1"/>
  <c r="BE12" i="2"/>
  <c r="AR27" i="2"/>
  <c r="BF30" i="2" l="1"/>
  <c r="BF12" i="2"/>
  <c r="AR16" i="2"/>
  <c r="AR28" i="2"/>
  <c r="AR19" i="2" l="1"/>
  <c r="AR33" i="2" s="1"/>
  <c r="AR32" i="2"/>
  <c r="AR21" i="2" l="1"/>
  <c r="AS13" i="2" l="1"/>
  <c r="AS16" i="2" s="1"/>
  <c r="AT13" i="2"/>
  <c r="AT16" i="2" s="1"/>
  <c r="AT27" i="2"/>
  <c r="AS27" i="2"/>
  <c r="AW7" i="2" l="1"/>
  <c r="AW8" i="2" s="1"/>
  <c r="AV7" i="2"/>
  <c r="AV8" i="2" s="1"/>
  <c r="AX7" i="2"/>
  <c r="AX8" i="2" s="1"/>
  <c r="AU7" i="2"/>
  <c r="AU8" i="2" s="1"/>
  <c r="BB7" i="2"/>
  <c r="BB8" i="2" s="1"/>
  <c r="BE7" i="2"/>
  <c r="BE8" i="2" s="1"/>
  <c r="BF7" i="2"/>
  <c r="BF8" i="2" s="1"/>
  <c r="BC7" i="2"/>
  <c r="BC8" i="2" s="1"/>
  <c r="BD7" i="2"/>
  <c r="BD8" i="2" s="1"/>
  <c r="AY7" i="2"/>
  <c r="AY8" i="2" s="1"/>
  <c r="AZ7" i="2"/>
  <c r="AZ8" i="2" s="1"/>
  <c r="BA7" i="2"/>
  <c r="BA8" i="2" s="1"/>
  <c r="AS28" i="2"/>
  <c r="AT19" i="2"/>
  <c r="AT32" i="2"/>
  <c r="AT28" i="2"/>
  <c r="AS32" i="2"/>
  <c r="AS19" i="2"/>
  <c r="AT21" i="2" l="1"/>
  <c r="AT35" i="2"/>
  <c r="AT52" i="2" s="1"/>
  <c r="AT54" i="2" s="1"/>
  <c r="AT33" i="2"/>
  <c r="AS35" i="2"/>
  <c r="AS52" i="2" s="1"/>
  <c r="AS54" i="2" s="1"/>
  <c r="AS33" i="2"/>
  <c r="BB27" i="2"/>
  <c r="BB13" i="2"/>
  <c r="BE27" i="2"/>
  <c r="BE13" i="2"/>
  <c r="AZ13" i="2"/>
  <c r="AZ27" i="2"/>
  <c r="BA27" i="2"/>
  <c r="BA13" i="2"/>
  <c r="AY13" i="2"/>
  <c r="AY27" i="2"/>
  <c r="AX13" i="2"/>
  <c r="AX27" i="2"/>
  <c r="BD13" i="2"/>
  <c r="BD27" i="2"/>
  <c r="BF13" i="2"/>
  <c r="BF27" i="2"/>
  <c r="AV27" i="2"/>
  <c r="AV13" i="2"/>
  <c r="BC13" i="2"/>
  <c r="BC27" i="2"/>
  <c r="AW27" i="2"/>
  <c r="AW13" i="2"/>
  <c r="AU27" i="2"/>
  <c r="AU13" i="2"/>
  <c r="AS21" i="2"/>
  <c r="BD28" i="2" l="1"/>
  <c r="BD16" i="2"/>
  <c r="AZ28" i="2"/>
  <c r="AZ16" i="2"/>
  <c r="BF28" i="2"/>
  <c r="BF16" i="2"/>
  <c r="BE16" i="2"/>
  <c r="BE28" i="2"/>
  <c r="AX16" i="2"/>
  <c r="AX28" i="2"/>
  <c r="BA28" i="2"/>
  <c r="BA16" i="2"/>
  <c r="BC28" i="2"/>
  <c r="BC16" i="2"/>
  <c r="BB28" i="2"/>
  <c r="BB16" i="2"/>
  <c r="AW16" i="2"/>
  <c r="AW28" i="2"/>
  <c r="AV16" i="2"/>
  <c r="AV28" i="2"/>
  <c r="AY28" i="2"/>
  <c r="AY16" i="2"/>
  <c r="AU16" i="2"/>
  <c r="AU28" i="2"/>
  <c r="BB18" i="2" l="1"/>
  <c r="BB19" i="2" s="1"/>
  <c r="BB33" i="2" s="1"/>
  <c r="BB32" i="2"/>
  <c r="BC18" i="2"/>
  <c r="BC19" i="2" s="1"/>
  <c r="BC33" i="2" s="1"/>
  <c r="BC32" i="2"/>
  <c r="AZ32" i="2"/>
  <c r="AZ18" i="2"/>
  <c r="AZ19" i="2" s="1"/>
  <c r="AZ33" i="2" s="1"/>
  <c r="AY18" i="2"/>
  <c r="AY19" i="2" s="1"/>
  <c r="AY33" i="2" s="1"/>
  <c r="AY32" i="2"/>
  <c r="AV19" i="2"/>
  <c r="AV32" i="2"/>
  <c r="BF32" i="2"/>
  <c r="BF18" i="2"/>
  <c r="BF19" i="2" s="1"/>
  <c r="BA18" i="2"/>
  <c r="BA19" i="2" s="1"/>
  <c r="BA33" i="2" s="1"/>
  <c r="BD18" i="2"/>
  <c r="BD19" i="2" s="1"/>
  <c r="BD33" i="2" s="1"/>
  <c r="BD32" i="2"/>
  <c r="BE18" i="2"/>
  <c r="BE19" i="2" s="1"/>
  <c r="BE33" i="2" s="1"/>
  <c r="BE32" i="2"/>
  <c r="BA32" i="2"/>
  <c r="AW18" i="2"/>
  <c r="AW19" i="2" s="1"/>
  <c r="AW32" i="2"/>
  <c r="AX18" i="2"/>
  <c r="AX19" i="2" s="1"/>
  <c r="AX33" i="2" s="1"/>
  <c r="AX32" i="2"/>
  <c r="AU32" i="2"/>
  <c r="AU19" i="2"/>
  <c r="AV35" i="2" l="1"/>
  <c r="AV52" i="2" s="1"/>
  <c r="AV54" i="2" s="1"/>
  <c r="AV33" i="2"/>
  <c r="AW35" i="2"/>
  <c r="AW52" i="2" s="1"/>
  <c r="AW54" i="2" s="1"/>
  <c r="AW33" i="2"/>
  <c r="AU21" i="2"/>
  <c r="AU35" i="2"/>
  <c r="AU52" i="2" s="1"/>
  <c r="AU54" i="2" s="1"/>
  <c r="AU33" i="2"/>
  <c r="BF35" i="2"/>
  <c r="BF52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CK54" i="2" s="1"/>
  <c r="CL54" i="2" s="1"/>
  <c r="CM54" i="2" s="1"/>
  <c r="CN54" i="2" s="1"/>
  <c r="CO54" i="2" s="1"/>
  <c r="CP54" i="2" s="1"/>
  <c r="CQ54" i="2" s="1"/>
  <c r="CR54" i="2" s="1"/>
  <c r="CS54" i="2" s="1"/>
  <c r="CT54" i="2" s="1"/>
  <c r="CU54" i="2" s="1"/>
  <c r="CV54" i="2" s="1"/>
  <c r="CW54" i="2" s="1"/>
  <c r="CX54" i="2" s="1"/>
  <c r="CY54" i="2" s="1"/>
  <c r="CZ54" i="2" s="1"/>
  <c r="DA54" i="2" s="1"/>
  <c r="DB54" i="2" s="1"/>
  <c r="DC54" i="2" s="1"/>
  <c r="DD54" i="2" s="1"/>
  <c r="DE54" i="2" s="1"/>
  <c r="DF54" i="2" s="1"/>
  <c r="DG54" i="2" s="1"/>
  <c r="DH54" i="2" s="1"/>
  <c r="DI54" i="2" s="1"/>
  <c r="DJ54" i="2" s="1"/>
  <c r="DK54" i="2" s="1"/>
  <c r="DL54" i="2" s="1"/>
  <c r="DM54" i="2" s="1"/>
  <c r="DN54" i="2" s="1"/>
  <c r="DO54" i="2" s="1"/>
  <c r="DP54" i="2" s="1"/>
  <c r="DQ54" i="2" s="1"/>
  <c r="DR54" i="2" s="1"/>
  <c r="DS54" i="2" s="1"/>
  <c r="DT54" i="2" s="1"/>
  <c r="DU54" i="2" s="1"/>
  <c r="DV54" i="2" s="1"/>
  <c r="DW54" i="2" s="1"/>
  <c r="DX54" i="2" s="1"/>
  <c r="DY54" i="2" s="1"/>
  <c r="DZ54" i="2" s="1"/>
  <c r="EA54" i="2" s="1"/>
  <c r="EB54" i="2" s="1"/>
  <c r="EC54" i="2" s="1"/>
  <c r="ED54" i="2" s="1"/>
  <c r="EE54" i="2" s="1"/>
  <c r="EF54" i="2" s="1"/>
  <c r="EG54" i="2" s="1"/>
  <c r="EH54" i="2" s="1"/>
  <c r="EI54" i="2" s="1"/>
  <c r="EJ54" i="2" s="1"/>
  <c r="EK54" i="2" s="1"/>
  <c r="EL54" i="2" s="1"/>
  <c r="EM54" i="2" s="1"/>
  <c r="EN54" i="2" s="1"/>
  <c r="EO54" i="2" s="1"/>
  <c r="EP54" i="2" s="1"/>
  <c r="EQ54" i="2" s="1"/>
  <c r="ER54" i="2" s="1"/>
  <c r="ES54" i="2" s="1"/>
  <c r="ET54" i="2" s="1"/>
  <c r="BF33" i="2"/>
  <c r="BE21" i="2"/>
  <c r="BE35" i="2"/>
  <c r="BE52" i="2" s="1"/>
  <c r="BE54" i="2" s="1"/>
  <c r="AY21" i="2"/>
  <c r="AY35" i="2"/>
  <c r="AY52" i="2" s="1"/>
  <c r="AY54" i="2" s="1"/>
  <c r="BD21" i="2"/>
  <c r="BD35" i="2"/>
  <c r="BD52" i="2" s="1"/>
  <c r="BD54" i="2" s="1"/>
  <c r="AX21" i="2"/>
  <c r="AX35" i="2"/>
  <c r="AX52" i="2" s="1"/>
  <c r="AX54" i="2" s="1"/>
  <c r="AZ21" i="2"/>
  <c r="AZ35" i="2"/>
  <c r="AZ52" i="2" s="1"/>
  <c r="AZ54" i="2" s="1"/>
  <c r="BA21" i="2"/>
  <c r="BA35" i="2"/>
  <c r="BA52" i="2" s="1"/>
  <c r="BA54" i="2" s="1"/>
  <c r="BC21" i="2"/>
  <c r="BC35" i="2"/>
  <c r="BC52" i="2" s="1"/>
  <c r="BC54" i="2" s="1"/>
  <c r="BB21" i="2"/>
  <c r="BB35" i="2"/>
  <c r="BB52" i="2" s="1"/>
  <c r="BB54" i="2" s="1"/>
  <c r="AW21" i="2"/>
  <c r="AV21" i="2"/>
  <c r="BF21" i="2"/>
  <c r="BG19" i="2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EF19" i="2" s="1"/>
  <c r="EG19" i="2" s="1"/>
  <c r="EH19" i="2" s="1"/>
  <c r="EI19" i="2" s="1"/>
  <c r="EJ19" i="2" s="1"/>
  <c r="EK19" i="2" s="1"/>
  <c r="EL19" i="2" s="1"/>
  <c r="EM19" i="2" s="1"/>
  <c r="EN19" i="2" s="1"/>
  <c r="EO19" i="2" s="1"/>
  <c r="EP19" i="2" s="1"/>
  <c r="EQ19" i="2" s="1"/>
  <c r="ER19" i="2" s="1"/>
  <c r="ES19" i="2" s="1"/>
  <c r="ET19" i="2" s="1"/>
  <c r="EU19" i="2" s="1"/>
  <c r="EV19" i="2" s="1"/>
  <c r="EW19" i="2" s="1"/>
  <c r="EX19" i="2" s="1"/>
  <c r="EY19" i="2" s="1"/>
  <c r="EZ19" i="2" s="1"/>
  <c r="FA19" i="2" s="1"/>
  <c r="FB19" i="2" s="1"/>
  <c r="FC19" i="2" s="1"/>
  <c r="FD19" i="2" s="1"/>
  <c r="FE19" i="2" s="1"/>
  <c r="FF19" i="2" s="1"/>
  <c r="FG19" i="2" s="1"/>
  <c r="FH19" i="2" s="1"/>
  <c r="FI19" i="2" s="1"/>
  <c r="FJ19" i="2" s="1"/>
  <c r="FK19" i="2" s="1"/>
  <c r="FL19" i="2" s="1"/>
  <c r="FM19" i="2" s="1"/>
  <c r="FN19" i="2" s="1"/>
  <c r="FO19" i="2" s="1"/>
  <c r="BI56" i="2" l="1"/>
  <c r="BI58" i="2" s="1"/>
  <c r="BI59" i="2" s="1"/>
  <c r="BI61" i="2" s="1"/>
  <c r="BI30" i="2"/>
  <c r="BI31" i="2" s="1"/>
  <c r="BI33" i="2" s="1"/>
</calcChain>
</file>

<file path=xl/sharedStrings.xml><?xml version="1.0" encoding="utf-8"?>
<sst xmlns="http://schemas.openxmlformats.org/spreadsheetml/2006/main" count="112" uniqueCount="104">
  <si>
    <t>RBLX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</si>
  <si>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</si>
  <si>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</si>
  <si>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</si>
  <si>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</si>
  <si>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</si>
  <si>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</si>
  <si>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</si>
  <si>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</si>
  <si>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</si>
  <si>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</si>
  <si>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Revenue</t>
  </si>
  <si>
    <t>Q119</t>
  </si>
  <si>
    <t>Q219</t>
  </si>
  <si>
    <t>Q319</t>
  </si>
  <si>
    <t>Q419</t>
  </si>
  <si>
    <t>Q120</t>
  </si>
  <si>
    <t>Q220</t>
  </si>
  <si>
    <t>Q320</t>
  </si>
  <si>
    <t>Cost of sales</t>
  </si>
  <si>
    <t>R&amp;D</t>
  </si>
  <si>
    <t>G&amp;A</t>
  </si>
  <si>
    <t>S&amp;M</t>
  </si>
  <si>
    <t>Total operating expenses</t>
  </si>
  <si>
    <t>Gross profit</t>
  </si>
  <si>
    <t>Operating profit</t>
  </si>
  <si>
    <t>Interest income</t>
  </si>
  <si>
    <t>Other expense</t>
  </si>
  <si>
    <t>Pretax profit</t>
  </si>
  <si>
    <t>Taxes</t>
  </si>
  <si>
    <t>MI</t>
  </si>
  <si>
    <t>Net profit</t>
  </si>
  <si>
    <t>EPS</t>
  </si>
  <si>
    <t>Developer fees</t>
  </si>
  <si>
    <t>Infrastructure costs</t>
  </si>
  <si>
    <t>Revenue y/y</t>
  </si>
  <si>
    <t>Gross Margin</t>
  </si>
  <si>
    <t>Operating Margin</t>
  </si>
  <si>
    <t>S&amp;M Margin</t>
  </si>
  <si>
    <t>Developer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</si>
  <si>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</si>
  <si>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</si>
  <si>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</si>
  <si>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</si>
  <si>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</si>
  <si>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</si>
  <si>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</si>
  <si>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</si>
  <si>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</si>
  <si>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Q118</t>
  </si>
  <si>
    <t>Q218</t>
  </si>
  <si>
    <t>Q318</t>
  </si>
  <si>
    <t>Q418</t>
  </si>
  <si>
    <t>Infrastructure y/y</t>
  </si>
  <si>
    <t>R&amp;D y/y</t>
  </si>
  <si>
    <t>G&amp;A y/y</t>
  </si>
  <si>
    <t>Q420</t>
  </si>
  <si>
    <t>Q121</t>
  </si>
  <si>
    <t>Q221</t>
  </si>
  <si>
    <t>Q321</t>
  </si>
  <si>
    <t>Q421</t>
  </si>
  <si>
    <t>Q324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</si>
  <si>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</si>
  <si>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</si>
  <si>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</si>
  <si>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</si>
  <si>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</si>
  <si>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</si>
  <si>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</si>
  <si>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</si>
  <si>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</si>
  <si>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</si>
  <si>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</si>
  <si>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Sales Margin</t>
  </si>
  <si>
    <t>Total cost of sales</t>
  </si>
  <si>
    <t>even with huge gross margin looks bad</t>
  </si>
  <si>
    <t>Q125</t>
  </si>
  <si>
    <t>Q225</t>
  </si>
  <si>
    <t>Q325</t>
  </si>
  <si>
    <t>Q425</t>
  </si>
  <si>
    <t>Heavily overvalued</t>
  </si>
  <si>
    <t>D&amp;A</t>
  </si>
  <si>
    <t>SBC</t>
  </si>
  <si>
    <t>Leases</t>
  </si>
  <si>
    <t>Securities</t>
  </si>
  <si>
    <t>Impairment</t>
  </si>
  <si>
    <t>A/R</t>
  </si>
  <si>
    <t>Prepaids</t>
  </si>
  <si>
    <t>D/R</t>
  </si>
  <si>
    <t>Other assets</t>
  </si>
  <si>
    <t>A/P</t>
  </si>
  <si>
    <t>A/L</t>
  </si>
  <si>
    <t>Other liabilities</t>
  </si>
  <si>
    <t>ONCL</t>
  </si>
  <si>
    <t>CFFO</t>
  </si>
  <si>
    <t>PP&amp;E</t>
  </si>
  <si>
    <t>FCF</t>
  </si>
  <si>
    <t>Net Margin</t>
  </si>
  <si>
    <t>Overvalued</t>
  </si>
  <si>
    <t>Q425 8K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</si>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</sst>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4" fontId="1" fillId="0" borderId="0" xfId="0" applyNumberFormat="1" applyFont="1"/>
    <xf numFmtId="3" fontId="1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30480</xdr:colOff>
      <xdr:row>0</xdr:row>
      <xdr:rowOff>0</xdr:rowOff>
    </xdr:from>
    <xdr:to>
      <xdr:col>34</xdr:col>
      <xdr:colOff>30480</xdr:colOff>
      <xdr:row>59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EFA42E2-708B-43DF-8460-A2C4F2EF7F60}"/>
            </a:ext>
          </a:extLst>
        </xdr:cNvPr>
        <xdr:cNvCxnSpPr/>
      </xdr:nvCxnSpPr>
      <xdr:spPr>
        <a:xfrm>
          <a:off x="2163318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22860</xdr:colOff>
      <xdr:row>0</xdr:row>
      <xdr:rowOff>0</xdr:rowOff>
    </xdr:from>
    <xdr:to>
      <xdr:col>48</xdr:col>
      <xdr:colOff>22860</xdr:colOff>
      <xdr:row>59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610B2A4-8065-4CBA-9BE3-E89010817B63}"/>
            </a:ext>
          </a:extLst>
        </xdr:cNvPr>
        <xdr:cNvCxnSpPr/>
      </xdr:nvCxnSpPr>
      <xdr:spPr>
        <a:xfrm>
          <a:off x="3015996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9DD9B-855F-46C3-BAC9-446F2F2A1831}">
  <dimension ref="B2:G9"/>
  <sheetViews>
    <sheetView workbookViewId="0">
      <selection activeCell="D7" sqref="D7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69.8</v>
      </c>
      <c r="E3" s="3">
        <v>46059</v>
      </c>
      <c r="F3" s="3">
        <f ca="1">TODAY()</f>
        <v>46059</v>
      </c>
      <c r="G3" s="3">
        <v>46155</v>
      </c>
    </row>
    <row r="4" spans="2:7" x14ac:dyDescent="0.3">
      <c r="C4" t="s">
        <v>2</v>
      </c>
      <c r="D4" s="5">
        <v>704.8</v>
      </c>
      <c r="E4" s="2" t="s">
        <v>99</v>
      </c>
    </row>
    <row r="5" spans="2:7" x14ac:dyDescent="0.3">
      <c r="C5" t="s">
        <v>3</v>
      </c>
      <c r="D5" s="5">
        <f>D3*D4</f>
        <v>49195.039999999994</v>
      </c>
    </row>
    <row r="6" spans="2:7" x14ac:dyDescent="0.3">
      <c r="C6" t="s">
        <v>4</v>
      </c>
      <c r="D6" s="5">
        <f>1205.3+1849.8+2492.6</f>
        <v>5547.7</v>
      </c>
      <c r="E6" s="2" t="s">
        <v>79</v>
      </c>
    </row>
    <row r="7" spans="2:7" x14ac:dyDescent="0.3">
      <c r="C7" t="s">
        <v>5</v>
      </c>
      <c r="D7" s="5">
        <f>993.1</f>
        <v>993.1</v>
      </c>
      <c r="E7" s="2" t="s">
        <v>79</v>
      </c>
    </row>
    <row r="8" spans="2:7" x14ac:dyDescent="0.3">
      <c r="C8" t="s">
        <v>6</v>
      </c>
      <c r="D8" s="5">
        <f>D6-D7</f>
        <v>4554.5999999999995</v>
      </c>
    </row>
    <row r="9" spans="2:7" x14ac:dyDescent="0.3">
      <c r="C9" t="s">
        <v>7</v>
      </c>
      <c r="D9" s="5">
        <f>D5-D8</f>
        <v>44640.439999999995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5E306-D0AF-4AEC-99D7-81A5EBC23309}">
  <dimension ref="B2:FO62"/>
  <sheetViews>
    <sheetView tabSelected="1" workbookViewId="0">
      <pane xSplit="2" ySplit="2" topLeftCell="AY20" activePane="bottomRight" state="frozen"/>
      <selection pane="topRight" activeCell="C1" sqref="C1"/>
      <selection pane="bottomLeft" activeCell="A3" sqref="A3"/>
      <selection pane="bottomRight" activeCell="BI56" sqref="BI56"/>
    </sheetView>
  </sheetViews>
  <sheetFormatPr defaultRowHeight="14.4" x14ac:dyDescent="0.3"/>
  <cols>
    <col min="2" max="2" width="21.6640625" bestFit="1" customWidth="1"/>
    <col min="3" max="6" width="8.88671875" customWidth="1"/>
    <col min="59" max="59" width="11.88671875" bestFit="1" customWidth="1"/>
    <col min="60" max="60" width="12" bestFit="1" customWidth="1"/>
    <col min="61" max="61" width="17.33203125" bestFit="1" customWidth="1"/>
  </cols>
  <sheetData>
    <row r="2" spans="2:59" x14ac:dyDescent="0.3">
      <c r="C2" s="6" t="s">
        <v>49</v>
      </c>
      <c r="D2" s="6" t="s">
        <v>50</v>
      </c>
      <c r="E2" s="6" t="s">
        <v>51</v>
      </c>
      <c r="F2" s="6" t="s">
        <v>52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56</v>
      </c>
      <c r="O2" s="6" t="s">
        <v>57</v>
      </c>
      <c r="P2" s="6" t="s">
        <v>58</v>
      </c>
      <c r="Q2" s="6" t="s">
        <v>59</v>
      </c>
      <c r="R2" s="6" t="s">
        <v>60</v>
      </c>
      <c r="S2" s="6" t="s">
        <v>62</v>
      </c>
      <c r="T2" s="6" t="s">
        <v>63</v>
      </c>
      <c r="U2" s="6" t="s">
        <v>64</v>
      </c>
      <c r="V2" s="6" t="s">
        <v>65</v>
      </c>
      <c r="W2" s="6" t="s">
        <v>66</v>
      </c>
      <c r="X2" s="6" t="s">
        <v>67</v>
      </c>
      <c r="Y2" s="6" t="s">
        <v>68</v>
      </c>
      <c r="Z2" s="6" t="s">
        <v>69</v>
      </c>
      <c r="AA2" s="6" t="s">
        <v>70</v>
      </c>
      <c r="AB2" s="6" t="s">
        <v>71</v>
      </c>
      <c r="AC2" s="6" t="s">
        <v>61</v>
      </c>
      <c r="AD2" s="6" t="s">
        <v>72</v>
      </c>
      <c r="AE2" s="6" t="s">
        <v>76</v>
      </c>
      <c r="AF2" s="6" t="s">
        <v>77</v>
      </c>
      <c r="AG2" s="6" t="s">
        <v>78</v>
      </c>
      <c r="AH2" s="6" t="s">
        <v>79</v>
      </c>
      <c r="AI2" s="6" t="s">
        <v>100</v>
      </c>
      <c r="AJ2" s="6" t="s">
        <v>101</v>
      </c>
      <c r="AK2" s="6" t="s">
        <v>102</v>
      </c>
      <c r="AL2" s="6" t="s">
        <v>103</v>
      </c>
      <c r="AM2" s="6"/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9" s="1" customFormat="1" x14ac:dyDescent="0.3">
      <c r="B3" s="1" t="s">
        <v>11</v>
      </c>
      <c r="C3" s="9">
        <v>63.4</v>
      </c>
      <c r="D3" s="9">
        <v>75.400000000000006</v>
      </c>
      <c r="E3" s="9">
        <v>86.6</v>
      </c>
      <c r="F3" s="9">
        <v>99.6</v>
      </c>
      <c r="G3" s="9">
        <v>110.5</v>
      </c>
      <c r="H3" s="9">
        <v>119.2</v>
      </c>
      <c r="I3" s="9">
        <v>131.1</v>
      </c>
      <c r="J3" s="9">
        <v>147.6</v>
      </c>
      <c r="K3" s="9">
        <v>161.6</v>
      </c>
      <c r="L3" s="9">
        <v>200.4</v>
      </c>
      <c r="M3" s="9">
        <v>251.9</v>
      </c>
      <c r="N3" s="9">
        <f>AQ3-M3-L3-K3</f>
        <v>310</v>
      </c>
      <c r="O3" s="9">
        <v>387</v>
      </c>
      <c r="P3" s="9">
        <v>454.1</v>
      </c>
      <c r="Q3" s="9">
        <v>509.3</v>
      </c>
      <c r="R3" s="9">
        <v>568.79999999999995</v>
      </c>
      <c r="S3" s="9">
        <v>537.1</v>
      </c>
      <c r="T3" s="9">
        <v>591.20000000000005</v>
      </c>
      <c r="U3" s="9">
        <v>517.70000000000005</v>
      </c>
      <c r="V3" s="9">
        <v>579</v>
      </c>
      <c r="W3" s="9">
        <v>655.29999999999995</v>
      </c>
      <c r="X3" s="9">
        <v>680.8</v>
      </c>
      <c r="Y3" s="9">
        <v>713.2</v>
      </c>
      <c r="Z3" s="9">
        <v>749.9</v>
      </c>
      <c r="AA3" s="9">
        <v>801.3</v>
      </c>
      <c r="AB3" s="9">
        <v>893.5</v>
      </c>
      <c r="AC3" s="9">
        <v>919</v>
      </c>
      <c r="AD3" s="9">
        <v>988.2</v>
      </c>
      <c r="AE3" s="9">
        <v>1035.2</v>
      </c>
      <c r="AF3" s="9">
        <v>1080.7</v>
      </c>
      <c r="AG3" s="9">
        <v>1359.6</v>
      </c>
      <c r="AH3" s="9">
        <v>1415</v>
      </c>
      <c r="AI3" s="9"/>
      <c r="AJ3" s="9"/>
      <c r="AK3" s="9"/>
      <c r="AL3" s="9"/>
      <c r="AM3" s="10"/>
      <c r="AO3" s="9">
        <f>SUM(C3:F3)</f>
        <v>325</v>
      </c>
      <c r="AP3" s="9">
        <f>SUM(G3:J3)</f>
        <v>508.4</v>
      </c>
      <c r="AQ3" s="9">
        <v>923.9</v>
      </c>
      <c r="AR3" s="9">
        <f>SUM(O3:R3)</f>
        <v>1919.2</v>
      </c>
      <c r="AS3" s="9">
        <f>SUM(S3:V3)</f>
        <v>2225</v>
      </c>
      <c r="AT3" s="9">
        <f>SUM(W3:Z3)</f>
        <v>2799.2000000000003</v>
      </c>
      <c r="AU3" s="9">
        <f>SUM(AA3:AD3)</f>
        <v>3602</v>
      </c>
      <c r="AV3" s="9">
        <f>SUM(AE3:AH3)</f>
        <v>4890.5</v>
      </c>
      <c r="AW3" s="9">
        <f>AV3*1.3</f>
        <v>6357.6500000000005</v>
      </c>
      <c r="AX3" s="9">
        <f>AW3*1.2</f>
        <v>7629.18</v>
      </c>
      <c r="AY3" s="9">
        <f>AX3*1.15</f>
        <v>8773.5569999999989</v>
      </c>
      <c r="AZ3" s="9">
        <f>AY3*1.12</f>
        <v>9826.3838400000004</v>
      </c>
      <c r="BA3" s="9">
        <f>AZ3*1.09</f>
        <v>10710.758385600002</v>
      </c>
      <c r="BB3" s="9">
        <f>BA3*1.07</f>
        <v>11460.511472592003</v>
      </c>
      <c r="BC3" s="9">
        <f>BB3*1.06</f>
        <v>12148.142160947524</v>
      </c>
      <c r="BD3" s="9">
        <f t="shared" ref="BD3:BF3" si="0">BC3*1.05</f>
        <v>12755.549268994901</v>
      </c>
      <c r="BE3" s="9">
        <f t="shared" si="0"/>
        <v>13393.326732444646</v>
      </c>
      <c r="BF3" s="9">
        <f t="shared" si="0"/>
        <v>14062.993069066879</v>
      </c>
      <c r="BG3" s="9"/>
    </row>
    <row r="4" spans="2:59" x14ac:dyDescent="0.3">
      <c r="B4" t="s">
        <v>19</v>
      </c>
      <c r="C4" s="5">
        <v>13.8</v>
      </c>
      <c r="D4" s="5">
        <v>16.7</v>
      </c>
      <c r="E4" s="5">
        <v>19.600000000000001</v>
      </c>
      <c r="F4" s="5">
        <v>22.9</v>
      </c>
      <c r="G4" s="5">
        <v>25.9</v>
      </c>
      <c r="H4" s="5">
        <v>27.7</v>
      </c>
      <c r="I4" s="5">
        <v>31.6</v>
      </c>
      <c r="J4" s="5">
        <v>37.200000000000003</v>
      </c>
      <c r="K4" s="5">
        <v>41.8</v>
      </c>
      <c r="L4" s="5">
        <v>53.7</v>
      </c>
      <c r="M4" s="5">
        <v>65.8</v>
      </c>
      <c r="N4" s="5">
        <f>AQ4-M4-L4-K4</f>
        <v>78.600000000000023</v>
      </c>
      <c r="O4" s="5">
        <v>97.9</v>
      </c>
      <c r="P4" s="5">
        <v>116.9</v>
      </c>
      <c r="Q4" s="5">
        <v>130</v>
      </c>
      <c r="R4" s="5">
        <v>152</v>
      </c>
      <c r="S4" s="5">
        <v>135.6</v>
      </c>
      <c r="T4" s="5">
        <v>143.19999999999999</v>
      </c>
      <c r="U4" s="5">
        <v>126.4</v>
      </c>
      <c r="V4" s="5">
        <v>142.4</v>
      </c>
      <c r="W4" s="5">
        <v>151.80000000000001</v>
      </c>
      <c r="X4" s="5">
        <v>162</v>
      </c>
      <c r="Y4" s="5">
        <v>163.6</v>
      </c>
      <c r="Z4" s="5">
        <v>171.7</v>
      </c>
      <c r="AA4" s="5">
        <v>178.9</v>
      </c>
      <c r="AB4" s="5">
        <v>198.6</v>
      </c>
      <c r="AC4" s="5">
        <v>205</v>
      </c>
      <c r="AD4" s="5">
        <v>218.7</v>
      </c>
      <c r="AE4" s="5">
        <v>224.7</v>
      </c>
      <c r="AF4" s="5">
        <v>236.1</v>
      </c>
      <c r="AG4" s="5">
        <v>296.5</v>
      </c>
      <c r="AH4" s="5">
        <v>315</v>
      </c>
      <c r="AI4" s="5"/>
      <c r="AJ4" s="5"/>
      <c r="AK4" s="5"/>
      <c r="AL4" s="5"/>
      <c r="AO4" s="5">
        <f>SUM(C4:F4)</f>
        <v>73</v>
      </c>
      <c r="AP4" s="5">
        <f>SUM(G4:J4)</f>
        <v>122.39999999999999</v>
      </c>
      <c r="AQ4" s="5">
        <v>239.9</v>
      </c>
      <c r="AR4" s="5">
        <f>SUM(O4:R4)</f>
        <v>496.8</v>
      </c>
      <c r="AS4" s="5">
        <f>SUM(S4:V4)</f>
        <v>547.59999999999991</v>
      </c>
      <c r="AT4" s="5">
        <f>SUM(W4:Z4)</f>
        <v>649.09999999999991</v>
      </c>
      <c r="AU4" s="5">
        <f>SUM(AA4:AD4)</f>
        <v>801.2</v>
      </c>
      <c r="AV4" s="5">
        <f>SUM(AE4:AH4)</f>
        <v>1072.3</v>
      </c>
      <c r="AW4" s="5">
        <f>AW3*0.22</f>
        <v>1398.6830000000002</v>
      </c>
      <c r="AX4" s="5">
        <f t="shared" ref="AX4:BF4" si="1">AX3*0.22</f>
        <v>1678.4196000000002</v>
      </c>
      <c r="AY4" s="5">
        <f t="shared" si="1"/>
        <v>1930.1825399999998</v>
      </c>
      <c r="AZ4" s="5">
        <f t="shared" si="1"/>
        <v>2161.8044448000001</v>
      </c>
      <c r="BA4" s="5">
        <f t="shared" si="1"/>
        <v>2356.3668448320004</v>
      </c>
      <c r="BB4" s="5">
        <f t="shared" si="1"/>
        <v>2521.3125239702408</v>
      </c>
      <c r="BC4" s="5">
        <f t="shared" si="1"/>
        <v>2672.5912754084552</v>
      </c>
      <c r="BD4" s="5">
        <f t="shared" si="1"/>
        <v>2806.2208391788781</v>
      </c>
      <c r="BE4" s="5">
        <f t="shared" si="1"/>
        <v>2946.531881137822</v>
      </c>
      <c r="BF4" s="5">
        <f t="shared" si="1"/>
        <v>3093.8584751947133</v>
      </c>
    </row>
    <row r="5" spans="2:59" x14ac:dyDescent="0.3">
      <c r="B5" t="s">
        <v>33</v>
      </c>
      <c r="C5" s="5">
        <v>16.3</v>
      </c>
      <c r="D5" s="5">
        <v>16.5</v>
      </c>
      <c r="E5" s="5">
        <v>18</v>
      </c>
      <c r="F5" s="5">
        <v>21.1</v>
      </c>
      <c r="G5" s="5">
        <v>22.7</v>
      </c>
      <c r="H5" s="5">
        <v>23.3</v>
      </c>
      <c r="I5" s="5">
        <v>26.2</v>
      </c>
      <c r="J5" s="5">
        <v>39.799999999999997</v>
      </c>
      <c r="K5" s="5">
        <v>44.5</v>
      </c>
      <c r="L5" s="5">
        <v>85.1</v>
      </c>
      <c r="M5" s="5">
        <v>85.5</v>
      </c>
      <c r="N5" s="5">
        <f>AQ5-M5-L5-K5</f>
        <v>113.6</v>
      </c>
      <c r="O5" s="5">
        <v>118.9</v>
      </c>
      <c r="P5" s="5">
        <v>129.69999999999999</v>
      </c>
      <c r="Q5" s="5">
        <v>130</v>
      </c>
      <c r="R5" s="5">
        <v>159.69999999999999</v>
      </c>
      <c r="S5" s="5">
        <v>147.1</v>
      </c>
      <c r="T5" s="5">
        <v>143.1</v>
      </c>
      <c r="U5" s="5">
        <v>151.5</v>
      </c>
      <c r="V5" s="5">
        <v>182.1</v>
      </c>
      <c r="W5" s="5">
        <v>182.4</v>
      </c>
      <c r="X5" s="5">
        <v>165.8</v>
      </c>
      <c r="Y5" s="5">
        <v>170.7</v>
      </c>
      <c r="Z5" s="5">
        <v>221.8</v>
      </c>
      <c r="AA5" s="5">
        <v>202.4</v>
      </c>
      <c r="AB5" s="5">
        <v>208.3</v>
      </c>
      <c r="AC5" s="5">
        <v>231.5</v>
      </c>
      <c r="AD5" s="5">
        <v>280.60000000000002</v>
      </c>
      <c r="AE5" s="5">
        <v>281.60000000000002</v>
      </c>
      <c r="AF5" s="5">
        <v>316.39999999999998</v>
      </c>
      <c r="AG5" s="5">
        <v>427.9</v>
      </c>
      <c r="AH5" s="5">
        <v>477.2</v>
      </c>
      <c r="AI5" s="5"/>
      <c r="AJ5" s="5"/>
      <c r="AK5" s="5"/>
      <c r="AL5" s="5"/>
      <c r="AO5" s="5">
        <f>SUM(C5:F5)</f>
        <v>71.900000000000006</v>
      </c>
      <c r="AP5" s="5">
        <f>SUM(G5:J5)</f>
        <v>112</v>
      </c>
      <c r="AQ5" s="5">
        <v>328.7</v>
      </c>
      <c r="AR5" s="5">
        <f>SUM(O5:R5)</f>
        <v>538.29999999999995</v>
      </c>
      <c r="AS5" s="5">
        <f>SUM(S5:V5)</f>
        <v>623.79999999999995</v>
      </c>
      <c r="AT5" s="5">
        <f>SUM(W5:Z5)</f>
        <v>740.7</v>
      </c>
      <c r="AU5" s="5">
        <f>SUM(AA5:AD5)</f>
        <v>922.80000000000007</v>
      </c>
      <c r="AV5" s="5">
        <f>SUM(AE5:AH5)</f>
        <v>1503.1000000000001</v>
      </c>
      <c r="AW5" s="5">
        <f>AW3*0.28</f>
        <v>1780.1420000000003</v>
      </c>
      <c r="AX5" s="5">
        <f t="shared" ref="AX5:BF5" si="2">AX3*0.28</f>
        <v>2136.1704000000004</v>
      </c>
      <c r="AY5" s="5">
        <f t="shared" si="2"/>
        <v>2456.5959600000001</v>
      </c>
      <c r="AZ5" s="5">
        <f t="shared" si="2"/>
        <v>2751.3874752000002</v>
      </c>
      <c r="BA5" s="5">
        <f t="shared" si="2"/>
        <v>2999.012347968001</v>
      </c>
      <c r="BB5" s="5">
        <f t="shared" si="2"/>
        <v>3208.9432123257611</v>
      </c>
      <c r="BC5" s="5">
        <f t="shared" si="2"/>
        <v>3401.4798050653071</v>
      </c>
      <c r="BD5" s="5">
        <f t="shared" si="2"/>
        <v>3571.5537953185726</v>
      </c>
      <c r="BE5" s="5">
        <f t="shared" si="2"/>
        <v>3750.131485084501</v>
      </c>
      <c r="BF5" s="5">
        <f t="shared" si="2"/>
        <v>3937.6380593387266</v>
      </c>
    </row>
    <row r="6" spans="2:59" x14ac:dyDescent="0.3">
      <c r="B6" t="s">
        <v>34</v>
      </c>
      <c r="C6" s="5">
        <v>18.8</v>
      </c>
      <c r="D6" s="5">
        <v>27.8</v>
      </c>
      <c r="E6" s="5">
        <v>29.1</v>
      </c>
      <c r="F6" s="5">
        <v>29.8</v>
      </c>
      <c r="G6" s="5">
        <v>33.5</v>
      </c>
      <c r="H6" s="5">
        <v>37.200000000000003</v>
      </c>
      <c r="I6" s="5">
        <v>41</v>
      </c>
      <c r="J6" s="5">
        <v>45</v>
      </c>
      <c r="K6" s="5">
        <v>52.6</v>
      </c>
      <c r="L6" s="5">
        <v>61.9</v>
      </c>
      <c r="M6" s="5">
        <v>71.400000000000006</v>
      </c>
      <c r="N6" s="5">
        <f>AQ6-M6-L6-K6</f>
        <v>78.299999999999983</v>
      </c>
      <c r="O6" s="5">
        <v>94.1</v>
      </c>
      <c r="P6" s="5">
        <v>109</v>
      </c>
      <c r="Q6" s="5">
        <v>117.4</v>
      </c>
      <c r="R6" s="5">
        <v>136</v>
      </c>
      <c r="S6" s="5">
        <v>141.4</v>
      </c>
      <c r="T6" s="5">
        <v>158.19999999999999</v>
      </c>
      <c r="U6" s="5">
        <v>191</v>
      </c>
      <c r="V6" s="5">
        <v>198.5</v>
      </c>
      <c r="W6" s="5">
        <v>211</v>
      </c>
      <c r="X6" s="5">
        <v>225</v>
      </c>
      <c r="Y6" s="5">
        <v>219</v>
      </c>
      <c r="Z6" s="5">
        <v>223.3</v>
      </c>
      <c r="AA6" s="5">
        <v>226.9</v>
      </c>
      <c r="AB6" s="5">
        <v>221.1</v>
      </c>
      <c r="AC6" s="5">
        <v>244.6</v>
      </c>
      <c r="AD6" s="5">
        <v>222.8</v>
      </c>
      <c r="AE6" s="5">
        <v>242.1</v>
      </c>
      <c r="AF6" s="5">
        <v>260.7</v>
      </c>
      <c r="AG6" s="5">
        <v>321.39999999999998</v>
      </c>
      <c r="AH6" s="5">
        <v>329.3</v>
      </c>
      <c r="AI6" s="5"/>
      <c r="AJ6" s="5"/>
      <c r="AK6" s="5"/>
      <c r="AL6" s="5"/>
      <c r="AO6" s="5">
        <f>SUM(C6:F6)</f>
        <v>105.5</v>
      </c>
      <c r="AP6" s="5">
        <f>SUM(G6:J6)</f>
        <v>156.69999999999999</v>
      </c>
      <c r="AQ6" s="5">
        <v>264.2</v>
      </c>
      <c r="AR6" s="5">
        <f>SUM(O6:R6)</f>
        <v>456.5</v>
      </c>
      <c r="AS6" s="5">
        <f>SUM(S6:V6)</f>
        <v>689.1</v>
      </c>
      <c r="AT6" s="5">
        <f>SUM(W6:Z6)</f>
        <v>878.3</v>
      </c>
      <c r="AU6" s="5">
        <f>SUM(AA6:AD6)</f>
        <v>915.40000000000009</v>
      </c>
      <c r="AV6" s="5">
        <f>SUM(AE6:AH6)</f>
        <v>1153.5</v>
      </c>
      <c r="AW6" s="5">
        <f>AV6*1.03</f>
        <v>1188.105</v>
      </c>
      <c r="AX6" s="5">
        <f>AW6*1.02</f>
        <v>1211.8670999999999</v>
      </c>
      <c r="AY6" s="5">
        <f>AX6*1.02</f>
        <v>1236.1044420000001</v>
      </c>
      <c r="AZ6" s="5">
        <f>AY6*1.02</f>
        <v>1260.82653084</v>
      </c>
      <c r="BA6" s="5">
        <f>AZ6*1.02</f>
        <v>1286.0430614568002</v>
      </c>
      <c r="BB6" s="5">
        <f t="shared" ref="BB6:BF6" si="3">BA6*1.01</f>
        <v>1298.9034920713682</v>
      </c>
      <c r="BC6" s="5">
        <f t="shared" si="3"/>
        <v>1311.8925269920819</v>
      </c>
      <c r="BD6" s="5">
        <f t="shared" si="3"/>
        <v>1325.0114522620026</v>
      </c>
      <c r="BE6" s="5">
        <f t="shared" si="3"/>
        <v>1338.2615667846228</v>
      </c>
      <c r="BF6" s="5">
        <f t="shared" si="3"/>
        <v>1351.6441824524691</v>
      </c>
    </row>
    <row r="7" spans="2:59" x14ac:dyDescent="0.3">
      <c r="B7" t="s">
        <v>74</v>
      </c>
      <c r="C7" s="5">
        <f t="shared" ref="C7:AC7" si="4">SUM(C4:C6)</f>
        <v>48.900000000000006</v>
      </c>
      <c r="D7" s="5">
        <f t="shared" si="4"/>
        <v>61</v>
      </c>
      <c r="E7" s="5">
        <f t="shared" si="4"/>
        <v>66.7</v>
      </c>
      <c r="F7" s="5">
        <f t="shared" si="4"/>
        <v>73.8</v>
      </c>
      <c r="G7" s="5">
        <f t="shared" si="4"/>
        <v>82.1</v>
      </c>
      <c r="H7" s="5">
        <f t="shared" si="4"/>
        <v>88.2</v>
      </c>
      <c r="I7" s="5">
        <f t="shared" si="4"/>
        <v>98.8</v>
      </c>
      <c r="J7" s="5">
        <f t="shared" si="4"/>
        <v>122</v>
      </c>
      <c r="K7" s="5">
        <f t="shared" si="4"/>
        <v>138.9</v>
      </c>
      <c r="L7" s="5">
        <f t="shared" si="4"/>
        <v>200.70000000000002</v>
      </c>
      <c r="M7" s="5">
        <f t="shared" si="4"/>
        <v>222.70000000000002</v>
      </c>
      <c r="N7" s="5">
        <f t="shared" si="4"/>
        <v>270.5</v>
      </c>
      <c r="O7" s="5">
        <f t="shared" si="4"/>
        <v>310.89999999999998</v>
      </c>
      <c r="P7" s="5">
        <f t="shared" si="4"/>
        <v>355.6</v>
      </c>
      <c r="Q7" s="5">
        <f t="shared" si="4"/>
        <v>377.4</v>
      </c>
      <c r="R7" s="5">
        <f t="shared" si="4"/>
        <v>447.7</v>
      </c>
      <c r="S7" s="5">
        <f t="shared" si="4"/>
        <v>424.1</v>
      </c>
      <c r="T7" s="5">
        <f t="shared" si="4"/>
        <v>444.49999999999994</v>
      </c>
      <c r="U7" s="5">
        <f t="shared" si="4"/>
        <v>468.9</v>
      </c>
      <c r="V7" s="5">
        <f t="shared" si="4"/>
        <v>523</v>
      </c>
      <c r="W7" s="5">
        <f t="shared" si="4"/>
        <v>545.20000000000005</v>
      </c>
      <c r="X7" s="5">
        <f t="shared" si="4"/>
        <v>552.79999999999995</v>
      </c>
      <c r="Y7" s="5">
        <f t="shared" si="4"/>
        <v>553.29999999999995</v>
      </c>
      <c r="Z7" s="5">
        <f t="shared" si="4"/>
        <v>616.79999999999995</v>
      </c>
      <c r="AA7" s="5">
        <f t="shared" si="4"/>
        <v>608.20000000000005</v>
      </c>
      <c r="AB7" s="5">
        <f t="shared" si="4"/>
        <v>628</v>
      </c>
      <c r="AC7" s="5">
        <f t="shared" si="4"/>
        <v>681.1</v>
      </c>
      <c r="AD7" s="5">
        <f>SUM(AD4:AD6)</f>
        <v>722.1</v>
      </c>
      <c r="AE7" s="5">
        <f t="shared" ref="AE7:AH7" si="5">SUM(AE4:AE6)</f>
        <v>748.4</v>
      </c>
      <c r="AF7" s="5">
        <f t="shared" si="5"/>
        <v>813.2</v>
      </c>
      <c r="AG7" s="5">
        <f t="shared" si="5"/>
        <v>1045.8</v>
      </c>
      <c r="AH7" s="5">
        <f t="shared" si="5"/>
        <v>1121.5</v>
      </c>
      <c r="AI7" s="5"/>
      <c r="AJ7" s="5"/>
      <c r="AK7" s="5"/>
      <c r="AL7" s="5"/>
      <c r="AO7" s="5">
        <f t="shared" ref="AO7:BF7" si="6">SUM(AO4:AO6)</f>
        <v>250.4</v>
      </c>
      <c r="AP7" s="5">
        <f t="shared" si="6"/>
        <v>391.09999999999997</v>
      </c>
      <c r="AQ7" s="5">
        <f t="shared" si="6"/>
        <v>832.8</v>
      </c>
      <c r="AR7" s="5">
        <f t="shared" si="6"/>
        <v>1491.6</v>
      </c>
      <c r="AS7" s="5">
        <f t="shared" si="6"/>
        <v>1860.5</v>
      </c>
      <c r="AT7" s="5">
        <f t="shared" si="6"/>
        <v>2268.1</v>
      </c>
      <c r="AU7" s="5">
        <f t="shared" si="6"/>
        <v>2639.4</v>
      </c>
      <c r="AV7" s="5">
        <f t="shared" si="6"/>
        <v>3728.9</v>
      </c>
      <c r="AW7" s="5">
        <f t="shared" si="6"/>
        <v>4366.93</v>
      </c>
      <c r="AX7" s="5">
        <f t="shared" si="6"/>
        <v>5026.4571000000005</v>
      </c>
      <c r="AY7" s="5">
        <f t="shared" si="6"/>
        <v>5622.8829420000002</v>
      </c>
      <c r="AZ7" s="5">
        <f t="shared" si="6"/>
        <v>6174.0184508399998</v>
      </c>
      <c r="BA7" s="5">
        <f t="shared" si="6"/>
        <v>6641.4222542568014</v>
      </c>
      <c r="BB7" s="5">
        <f t="shared" si="6"/>
        <v>7029.1592283673699</v>
      </c>
      <c r="BC7" s="5">
        <f t="shared" si="6"/>
        <v>7385.9636074658447</v>
      </c>
      <c r="BD7" s="5">
        <f t="shared" si="6"/>
        <v>7702.7860867594536</v>
      </c>
      <c r="BE7" s="5">
        <f t="shared" si="6"/>
        <v>8034.924933006946</v>
      </c>
      <c r="BF7" s="5">
        <f t="shared" si="6"/>
        <v>8383.1407169859085</v>
      </c>
    </row>
    <row r="8" spans="2:59" s="1" customFormat="1" x14ac:dyDescent="0.3">
      <c r="B8" s="1" t="s">
        <v>24</v>
      </c>
      <c r="C8" s="9">
        <f>C3-C7</f>
        <v>14.499999999999993</v>
      </c>
      <c r="D8" s="9">
        <f t="shared" ref="D8:AD8" si="7">D3-D7</f>
        <v>14.400000000000006</v>
      </c>
      <c r="E8" s="9">
        <f t="shared" si="7"/>
        <v>19.899999999999991</v>
      </c>
      <c r="F8" s="9">
        <f t="shared" si="7"/>
        <v>25.799999999999997</v>
      </c>
      <c r="G8" s="9">
        <f t="shared" si="7"/>
        <v>28.400000000000006</v>
      </c>
      <c r="H8" s="9">
        <f t="shared" si="7"/>
        <v>31</v>
      </c>
      <c r="I8" s="9">
        <f t="shared" si="7"/>
        <v>32.299999999999997</v>
      </c>
      <c r="J8" s="9">
        <f t="shared" si="7"/>
        <v>25.599999999999994</v>
      </c>
      <c r="K8" s="9">
        <f t="shared" si="7"/>
        <v>22.699999999999989</v>
      </c>
      <c r="L8" s="9">
        <f t="shared" si="7"/>
        <v>-0.30000000000001137</v>
      </c>
      <c r="M8" s="9">
        <f t="shared" si="7"/>
        <v>29.199999999999989</v>
      </c>
      <c r="N8" s="9">
        <f t="shared" si="7"/>
        <v>39.5</v>
      </c>
      <c r="O8" s="9">
        <f t="shared" si="7"/>
        <v>76.100000000000023</v>
      </c>
      <c r="P8" s="9">
        <f t="shared" si="7"/>
        <v>98.5</v>
      </c>
      <c r="Q8" s="9">
        <f t="shared" si="7"/>
        <v>131.90000000000003</v>
      </c>
      <c r="R8" s="9">
        <f t="shared" si="7"/>
        <v>121.09999999999997</v>
      </c>
      <c r="S8" s="9">
        <f t="shared" si="7"/>
        <v>113</v>
      </c>
      <c r="T8" s="9">
        <f t="shared" si="7"/>
        <v>146.7000000000001</v>
      </c>
      <c r="U8" s="9">
        <f t="shared" si="7"/>
        <v>48.800000000000068</v>
      </c>
      <c r="V8" s="9">
        <f t="shared" si="7"/>
        <v>56</v>
      </c>
      <c r="W8" s="9">
        <f t="shared" si="7"/>
        <v>110.09999999999991</v>
      </c>
      <c r="X8" s="9">
        <f t="shared" si="7"/>
        <v>128</v>
      </c>
      <c r="Y8" s="9">
        <f t="shared" si="7"/>
        <v>159.90000000000009</v>
      </c>
      <c r="Z8" s="9">
        <f t="shared" si="7"/>
        <v>133.10000000000002</v>
      </c>
      <c r="AA8" s="9">
        <f t="shared" si="7"/>
        <v>193.09999999999991</v>
      </c>
      <c r="AB8" s="9">
        <f t="shared" si="7"/>
        <v>265.5</v>
      </c>
      <c r="AC8" s="9">
        <f t="shared" si="7"/>
        <v>237.89999999999998</v>
      </c>
      <c r="AD8" s="9">
        <f t="shared" si="7"/>
        <v>266.10000000000002</v>
      </c>
      <c r="AE8" s="9">
        <f t="shared" ref="AE8:AH8" si="8">AE3-AE7</f>
        <v>286.80000000000007</v>
      </c>
      <c r="AF8" s="9">
        <f t="shared" si="8"/>
        <v>267.5</v>
      </c>
      <c r="AG8" s="9">
        <f t="shared" si="8"/>
        <v>313.79999999999995</v>
      </c>
      <c r="AH8" s="9">
        <f t="shared" si="8"/>
        <v>293.5</v>
      </c>
      <c r="AI8" s="9"/>
      <c r="AJ8" s="9"/>
      <c r="AK8" s="9"/>
      <c r="AL8" s="9"/>
      <c r="AO8" s="9">
        <f t="shared" ref="AO8" si="9">AO3-AO7</f>
        <v>74.599999999999994</v>
      </c>
      <c r="AP8" s="9">
        <f t="shared" ref="AP8" si="10">AP3-AP7</f>
        <v>117.30000000000001</v>
      </c>
      <c r="AQ8" s="9">
        <f t="shared" ref="AQ8" si="11">AQ3-AQ7</f>
        <v>91.100000000000023</v>
      </c>
      <c r="AR8" s="9">
        <f t="shared" ref="AR8" si="12">AR3-AR7</f>
        <v>427.60000000000014</v>
      </c>
      <c r="AS8" s="9">
        <f t="shared" ref="AS8" si="13">AS3-AS7</f>
        <v>364.5</v>
      </c>
      <c r="AT8" s="9">
        <f t="shared" ref="AT8" si="14">AT3-AT7</f>
        <v>531.10000000000036</v>
      </c>
      <c r="AU8" s="9">
        <f t="shared" ref="AU8" si="15">AU3-AU7</f>
        <v>962.59999999999991</v>
      </c>
      <c r="AV8" s="9">
        <f t="shared" ref="AV8" si="16">AV3-AV7</f>
        <v>1161.5999999999999</v>
      </c>
      <c r="AW8" s="9">
        <f t="shared" ref="AW8" si="17">AW3-AW7</f>
        <v>1990.7200000000003</v>
      </c>
      <c r="AX8" s="9">
        <f t="shared" ref="AX8" si="18">AX3-AX7</f>
        <v>2602.7228999999998</v>
      </c>
      <c r="AY8" s="9">
        <f t="shared" ref="AY8" si="19">AY3-AY7</f>
        <v>3150.6740579999987</v>
      </c>
      <c r="AZ8" s="9">
        <f t="shared" ref="AZ8" si="20">AZ3-AZ7</f>
        <v>3652.3653891600006</v>
      </c>
      <c r="BA8" s="9">
        <f t="shared" ref="BA8" si="21">BA3-BA7</f>
        <v>4069.3361313432006</v>
      </c>
      <c r="BB8" s="9">
        <f t="shared" ref="BB8" si="22">BB3-BB7</f>
        <v>4431.3522442246331</v>
      </c>
      <c r="BC8" s="9">
        <f t="shared" ref="BC8" si="23">BC3-BC7</f>
        <v>4762.178553481679</v>
      </c>
      <c r="BD8" s="9">
        <f t="shared" ref="BD8" si="24">BD3-BD7</f>
        <v>5052.7631822354469</v>
      </c>
      <c r="BE8" s="9">
        <f t="shared" ref="BE8" si="25">BE3-BE7</f>
        <v>5358.4017994377</v>
      </c>
      <c r="BF8" s="9">
        <f t="shared" ref="BF8" si="26">BF3-BF7</f>
        <v>5679.8523520809704</v>
      </c>
    </row>
    <row r="9" spans="2:59" x14ac:dyDescent="0.3">
      <c r="B9" t="s">
        <v>20</v>
      </c>
      <c r="C9" s="5">
        <v>13.8</v>
      </c>
      <c r="D9" s="5">
        <v>16.399999999999999</v>
      </c>
      <c r="E9" s="5">
        <v>35.9</v>
      </c>
      <c r="F9" s="5">
        <v>21</v>
      </c>
      <c r="G9" s="5">
        <v>21.6</v>
      </c>
      <c r="H9" s="5">
        <v>24.8</v>
      </c>
      <c r="I9" s="5">
        <v>28</v>
      </c>
      <c r="J9" s="5">
        <v>32.700000000000003</v>
      </c>
      <c r="K9" s="5">
        <v>49.4</v>
      </c>
      <c r="L9" s="5">
        <v>40.200000000000003</v>
      </c>
      <c r="M9" s="5">
        <v>51.7</v>
      </c>
      <c r="N9" s="5">
        <f>AQ9-M9-L9-K9</f>
        <v>60.099999999999987</v>
      </c>
      <c r="O9" s="5">
        <v>96.6</v>
      </c>
      <c r="P9" s="5">
        <v>124.7</v>
      </c>
      <c r="Q9" s="5">
        <v>138.19999999999999</v>
      </c>
      <c r="R9" s="5">
        <v>173.6</v>
      </c>
      <c r="S9" s="5">
        <v>177.8</v>
      </c>
      <c r="T9" s="5">
        <v>211.8</v>
      </c>
      <c r="U9" s="5">
        <v>235.6</v>
      </c>
      <c r="V9" s="5">
        <v>248.4</v>
      </c>
      <c r="W9" s="5">
        <v>275.5</v>
      </c>
      <c r="X9" s="5">
        <v>315.3</v>
      </c>
      <c r="Y9" s="5">
        <v>321.60000000000002</v>
      </c>
      <c r="Z9" s="5">
        <v>341.1</v>
      </c>
      <c r="AA9" s="5">
        <v>362.1</v>
      </c>
      <c r="AB9" s="5">
        <v>361.7</v>
      </c>
      <c r="AC9" s="5">
        <v>365.4</v>
      </c>
      <c r="AD9" s="5">
        <v>355</v>
      </c>
      <c r="AE9" s="5">
        <v>374.6</v>
      </c>
      <c r="AF9" s="5">
        <v>385</v>
      </c>
      <c r="AG9" s="5">
        <v>398.3</v>
      </c>
      <c r="AH9" s="5">
        <v>409.8</v>
      </c>
      <c r="AI9" s="5"/>
      <c r="AJ9" s="5"/>
      <c r="AK9" s="5"/>
      <c r="AL9" s="5"/>
      <c r="AO9" s="5">
        <f>SUM(C9:F9)</f>
        <v>87.1</v>
      </c>
      <c r="AP9" s="5">
        <f>SUM(G9:J9)</f>
        <v>107.10000000000001</v>
      </c>
      <c r="AQ9" s="5">
        <v>201.4</v>
      </c>
      <c r="AR9" s="5">
        <f>SUM(O9:R9)</f>
        <v>533.1</v>
      </c>
      <c r="AS9" s="5">
        <f>SUM(S9:V9)</f>
        <v>873.6</v>
      </c>
      <c r="AT9" s="5">
        <f>SUM(W9:Z9)</f>
        <v>1253.5</v>
      </c>
      <c r="AU9" s="5">
        <f>SUM(AA9:AD9)</f>
        <v>1444.1999999999998</v>
      </c>
      <c r="AV9" s="5">
        <f>SUM(AE9:AH9)</f>
        <v>1567.7</v>
      </c>
      <c r="AW9" s="5">
        <f>AV9*1.03</f>
        <v>1614.731</v>
      </c>
      <c r="AX9" s="5">
        <f>AW9*1.02</f>
        <v>1647.0256200000001</v>
      </c>
      <c r="AY9" s="5">
        <f>AX9*1.02</f>
        <v>1679.9661324000001</v>
      </c>
      <c r="AZ9" s="5">
        <f t="shared" ref="AZ9:BA10" si="27">AY9*1.02</f>
        <v>1713.5654550480001</v>
      </c>
      <c r="BA9" s="5">
        <f>AZ9*1.01</f>
        <v>1730.7011095984801</v>
      </c>
      <c r="BB9" s="5">
        <f t="shared" ref="BB9:BF9" si="28">BA9*1.01</f>
        <v>1748.0081206944649</v>
      </c>
      <c r="BC9" s="5">
        <f t="shared" si="28"/>
        <v>1765.4882019014096</v>
      </c>
      <c r="BD9" s="5">
        <f t="shared" si="28"/>
        <v>1783.1430839204238</v>
      </c>
      <c r="BE9" s="5">
        <f t="shared" si="28"/>
        <v>1800.9745147596282</v>
      </c>
      <c r="BF9" s="5">
        <f t="shared" si="28"/>
        <v>1818.9842599072244</v>
      </c>
    </row>
    <row r="10" spans="2:59" x14ac:dyDescent="0.3">
      <c r="B10" t="s">
        <v>21</v>
      </c>
      <c r="C10" s="5">
        <v>5.7</v>
      </c>
      <c r="D10" s="5">
        <v>7.2</v>
      </c>
      <c r="E10" s="5">
        <v>13.5</v>
      </c>
      <c r="F10" s="5">
        <v>8.1</v>
      </c>
      <c r="G10" s="5">
        <v>8.8000000000000007</v>
      </c>
      <c r="H10" s="5">
        <v>9.8000000000000007</v>
      </c>
      <c r="I10" s="5">
        <v>10.3</v>
      </c>
      <c r="J10" s="5">
        <v>13</v>
      </c>
      <c r="K10" s="5">
        <v>30.6</v>
      </c>
      <c r="L10" s="5">
        <v>18.7</v>
      </c>
      <c r="M10" s="5">
        <v>16.2</v>
      </c>
      <c r="N10" s="5">
        <f>AQ10-M10-L10-K10</f>
        <v>31.79999999999999</v>
      </c>
      <c r="O10" s="5">
        <v>94.4</v>
      </c>
      <c r="P10" s="5">
        <v>97.7</v>
      </c>
      <c r="Q10" s="5">
        <v>51.6</v>
      </c>
      <c r="R10" s="5">
        <v>59.4</v>
      </c>
      <c r="S10" s="5">
        <v>57.8</v>
      </c>
      <c r="T10" s="5">
        <v>78.7</v>
      </c>
      <c r="U10" s="5">
        <v>81.2</v>
      </c>
      <c r="V10" s="5">
        <v>79.7</v>
      </c>
      <c r="W10" s="5">
        <v>97.6</v>
      </c>
      <c r="X10" s="5">
        <v>96.2</v>
      </c>
      <c r="Y10" s="5">
        <v>97.5</v>
      </c>
      <c r="Z10" s="5">
        <v>98.8</v>
      </c>
      <c r="AA10" s="5">
        <v>97.8</v>
      </c>
      <c r="AB10" s="5">
        <v>105.6</v>
      </c>
      <c r="AC10" s="5">
        <v>98.7</v>
      </c>
      <c r="AD10" s="5">
        <v>105.3</v>
      </c>
      <c r="AE10" s="5">
        <v>119.1</v>
      </c>
      <c r="AF10" s="5">
        <v>152.19999999999999</v>
      </c>
      <c r="AG10" s="5">
        <v>145</v>
      </c>
      <c r="AH10" s="5">
        <v>163.80000000000001</v>
      </c>
      <c r="AI10" s="5"/>
      <c r="AJ10" s="5"/>
      <c r="AK10" s="5"/>
      <c r="AL10" s="5"/>
      <c r="AO10" s="5">
        <f>SUM(C10:F10)</f>
        <v>34.5</v>
      </c>
      <c r="AP10" s="5">
        <f>SUM(G10:J10)</f>
        <v>41.900000000000006</v>
      </c>
      <c r="AQ10" s="5">
        <v>97.3</v>
      </c>
      <c r="AR10" s="5">
        <f>SUM(O10:R10)</f>
        <v>303.10000000000002</v>
      </c>
      <c r="AS10" s="5">
        <f>SUM(S10:V10)</f>
        <v>297.39999999999998</v>
      </c>
      <c r="AT10" s="5">
        <f>SUM(W10:Z10)</f>
        <v>390.1</v>
      </c>
      <c r="AU10" s="5">
        <f>SUM(AA10:AD10)</f>
        <v>407.4</v>
      </c>
      <c r="AV10" s="5">
        <f>SUM(AE10:AH10)</f>
        <v>580.09999999999991</v>
      </c>
      <c r="AW10" s="5">
        <f>AV10*1.09</f>
        <v>632.30899999999997</v>
      </c>
      <c r="AX10" s="5">
        <f>AW10*1.05</f>
        <v>663.92444999999998</v>
      </c>
      <c r="AY10" s="5">
        <f>AX10*1.04</f>
        <v>690.48142800000005</v>
      </c>
      <c r="AZ10" s="5">
        <f>AY10*1.03</f>
        <v>711.19587084000011</v>
      </c>
      <c r="BA10" s="5">
        <f t="shared" si="27"/>
        <v>725.41978825680008</v>
      </c>
      <c r="BB10" s="5">
        <f t="shared" ref="BB10" si="29">BA10*1.02</f>
        <v>739.92818402193609</v>
      </c>
      <c r="BC10" s="5">
        <f t="shared" ref="BC10" si="30">BB10*1.02</f>
        <v>754.72674770237484</v>
      </c>
      <c r="BD10" s="5">
        <f t="shared" ref="BD10" si="31">BC10*1.02</f>
        <v>769.82128265642234</v>
      </c>
      <c r="BE10" s="5">
        <f t="shared" ref="BE10" si="32">BD10*1.02</f>
        <v>785.21770830955086</v>
      </c>
      <c r="BF10" s="5">
        <f t="shared" ref="BF10" si="33">BE10*1.02</f>
        <v>800.92206247574188</v>
      </c>
    </row>
    <row r="11" spans="2:59" x14ac:dyDescent="0.3">
      <c r="B11" t="s">
        <v>22</v>
      </c>
      <c r="C11" s="5">
        <v>9.4</v>
      </c>
      <c r="D11" s="5">
        <v>11</v>
      </c>
      <c r="E11" s="5">
        <v>11.3</v>
      </c>
      <c r="F11" s="5">
        <v>8.9</v>
      </c>
      <c r="G11" s="5">
        <v>8.4</v>
      </c>
      <c r="H11" s="5">
        <v>10.199999999999999</v>
      </c>
      <c r="I11" s="5">
        <v>12.7</v>
      </c>
      <c r="J11" s="5">
        <v>13.5</v>
      </c>
      <c r="K11" s="5">
        <v>15.7</v>
      </c>
      <c r="L11" s="5">
        <v>13.9</v>
      </c>
      <c r="M11" s="5">
        <v>12.9</v>
      </c>
      <c r="N11" s="5">
        <f>AQ11-M11-L11-K11</f>
        <v>15.900000000000002</v>
      </c>
      <c r="O11" s="5">
        <v>20</v>
      </c>
      <c r="P11" s="5">
        <v>19</v>
      </c>
      <c r="Q11" s="5">
        <v>19.600000000000001</v>
      </c>
      <c r="R11" s="5">
        <v>27.8</v>
      </c>
      <c r="S11" s="5">
        <v>29.1</v>
      </c>
      <c r="T11" s="5">
        <v>26.5</v>
      </c>
      <c r="U11" s="5">
        <v>32.1</v>
      </c>
      <c r="V11" s="5">
        <v>29.7</v>
      </c>
      <c r="W11" s="5">
        <v>26.8</v>
      </c>
      <c r="X11" s="5">
        <v>30.3</v>
      </c>
      <c r="Y11" s="5">
        <v>40.9</v>
      </c>
      <c r="Z11" s="5">
        <v>48.5</v>
      </c>
      <c r="AA11" s="5">
        <v>35.5</v>
      </c>
      <c r="AB11" s="5">
        <v>36.299999999999997</v>
      </c>
      <c r="AC11" s="5">
        <v>52.6</v>
      </c>
      <c r="AD11" s="5">
        <v>49.8</v>
      </c>
      <c r="AE11" s="5">
        <v>47.8</v>
      </c>
      <c r="AF11" s="5">
        <v>52.8</v>
      </c>
      <c r="AG11" s="5">
        <v>67.099999999999994</v>
      </c>
      <c r="AH11" s="5">
        <v>78.5</v>
      </c>
      <c r="AI11" s="5"/>
      <c r="AJ11" s="5"/>
      <c r="AK11" s="5"/>
      <c r="AL11" s="5"/>
      <c r="AO11" s="5">
        <f>SUM(C11:F11)</f>
        <v>40.6</v>
      </c>
      <c r="AP11" s="5">
        <f>SUM(G11:J11)</f>
        <v>44.8</v>
      </c>
      <c r="AQ11" s="5">
        <v>58.4</v>
      </c>
      <c r="AR11" s="5">
        <f>SUM(O11:R11)</f>
        <v>86.4</v>
      </c>
      <c r="AS11" s="5">
        <f>SUM(S11:V11)</f>
        <v>117.4</v>
      </c>
      <c r="AT11" s="5">
        <f>SUM(W11:Z11)</f>
        <v>146.5</v>
      </c>
      <c r="AU11" s="5">
        <f>SUM(AA11:AD11)</f>
        <v>174.2</v>
      </c>
      <c r="AV11" s="5">
        <f>SUM(AE11:AH11)</f>
        <v>246.2</v>
      </c>
      <c r="AW11" s="5">
        <f t="shared" ref="AW11:BF11" si="34">AW3*0.05</f>
        <v>317.88250000000005</v>
      </c>
      <c r="AX11" s="5">
        <f t="shared" si="34"/>
        <v>381.45900000000006</v>
      </c>
      <c r="AY11" s="5">
        <f t="shared" si="34"/>
        <v>438.67784999999998</v>
      </c>
      <c r="AZ11" s="5">
        <f t="shared" si="34"/>
        <v>491.31919200000004</v>
      </c>
      <c r="BA11" s="5">
        <f t="shared" si="34"/>
        <v>535.5379192800001</v>
      </c>
      <c r="BB11" s="5">
        <f t="shared" si="34"/>
        <v>573.02557362960022</v>
      </c>
      <c r="BC11" s="5">
        <f t="shared" si="34"/>
        <v>607.40710804737625</v>
      </c>
      <c r="BD11" s="5">
        <f t="shared" si="34"/>
        <v>637.77746344974503</v>
      </c>
      <c r="BE11" s="5">
        <f t="shared" si="34"/>
        <v>669.66633662223239</v>
      </c>
      <c r="BF11" s="5">
        <f t="shared" si="34"/>
        <v>703.14965345334394</v>
      </c>
    </row>
    <row r="12" spans="2:59" x14ac:dyDescent="0.3">
      <c r="B12" t="s">
        <v>23</v>
      </c>
      <c r="C12" s="5">
        <f t="shared" ref="C12:O12" si="35">SUM(C9:C11)</f>
        <v>28.9</v>
      </c>
      <c r="D12" s="5">
        <f t="shared" si="35"/>
        <v>34.599999999999994</v>
      </c>
      <c r="E12" s="5">
        <f t="shared" si="35"/>
        <v>60.7</v>
      </c>
      <c r="F12" s="5">
        <f t="shared" si="35"/>
        <v>38</v>
      </c>
      <c r="G12" s="5">
        <f t="shared" si="35"/>
        <v>38.800000000000004</v>
      </c>
      <c r="H12" s="5">
        <f t="shared" si="35"/>
        <v>44.8</v>
      </c>
      <c r="I12" s="5">
        <f t="shared" si="35"/>
        <v>51</v>
      </c>
      <c r="J12" s="5">
        <f t="shared" si="35"/>
        <v>59.2</v>
      </c>
      <c r="K12" s="5">
        <f t="shared" si="35"/>
        <v>95.7</v>
      </c>
      <c r="L12" s="5">
        <f t="shared" si="35"/>
        <v>72.800000000000011</v>
      </c>
      <c r="M12" s="5">
        <f t="shared" si="35"/>
        <v>80.800000000000011</v>
      </c>
      <c r="N12" s="5">
        <f t="shared" si="35"/>
        <v>107.79999999999998</v>
      </c>
      <c r="O12" s="5">
        <f t="shared" si="35"/>
        <v>211</v>
      </c>
      <c r="P12" s="5">
        <f t="shared" ref="P12:AC12" si="36">SUM(P9:P11)</f>
        <v>241.4</v>
      </c>
      <c r="Q12" s="5">
        <f t="shared" si="36"/>
        <v>209.39999999999998</v>
      </c>
      <c r="R12" s="5">
        <f t="shared" si="36"/>
        <v>260.8</v>
      </c>
      <c r="S12" s="5">
        <f t="shared" si="36"/>
        <v>264.70000000000005</v>
      </c>
      <c r="T12" s="5">
        <f t="shared" si="36"/>
        <v>317</v>
      </c>
      <c r="U12" s="5">
        <f t="shared" si="36"/>
        <v>348.90000000000003</v>
      </c>
      <c r="V12" s="5">
        <f t="shared" si="36"/>
        <v>357.8</v>
      </c>
      <c r="W12" s="5">
        <f t="shared" si="36"/>
        <v>399.90000000000003</v>
      </c>
      <c r="X12" s="5">
        <f t="shared" si="36"/>
        <v>441.8</v>
      </c>
      <c r="Y12" s="5">
        <f t="shared" si="36"/>
        <v>460</v>
      </c>
      <c r="Z12" s="5">
        <f t="shared" si="36"/>
        <v>488.40000000000003</v>
      </c>
      <c r="AA12" s="5">
        <f t="shared" si="36"/>
        <v>495.40000000000003</v>
      </c>
      <c r="AB12" s="5">
        <f t="shared" si="36"/>
        <v>503.59999999999997</v>
      </c>
      <c r="AC12" s="5">
        <f t="shared" si="36"/>
        <v>516.69999999999993</v>
      </c>
      <c r="AD12" s="5">
        <f t="shared" ref="AD12:AH12" si="37">SUM(AD9:AD11)</f>
        <v>510.1</v>
      </c>
      <c r="AE12" s="5">
        <f t="shared" si="37"/>
        <v>541.5</v>
      </c>
      <c r="AF12" s="5">
        <f t="shared" si="37"/>
        <v>590</v>
      </c>
      <c r="AG12" s="5">
        <f t="shared" si="37"/>
        <v>610.4</v>
      </c>
      <c r="AH12" s="5">
        <f t="shared" si="37"/>
        <v>652.1</v>
      </c>
      <c r="AI12" s="5"/>
      <c r="AJ12" s="5"/>
      <c r="AK12" s="5"/>
      <c r="AL12" s="5"/>
      <c r="AO12" s="5">
        <f t="shared" ref="AO12:AR12" si="38">SUM(AO9:AO11)</f>
        <v>162.19999999999999</v>
      </c>
      <c r="AP12" s="5">
        <f t="shared" si="38"/>
        <v>193.8</v>
      </c>
      <c r="AQ12" s="5">
        <f t="shared" si="38"/>
        <v>357.09999999999997</v>
      </c>
      <c r="AR12" s="5">
        <f t="shared" si="38"/>
        <v>922.6</v>
      </c>
      <c r="AS12" s="5">
        <f t="shared" ref="AS12" si="39">SUM(AS9:AS11)</f>
        <v>1288.4000000000001</v>
      </c>
      <c r="AT12" s="5">
        <f t="shared" ref="AT12" si="40">SUM(AT9:AT11)</f>
        <v>1790.1</v>
      </c>
      <c r="AU12" s="5">
        <f t="shared" ref="AU12" si="41">SUM(AU9:AU11)</f>
        <v>2025.8</v>
      </c>
      <c r="AV12" s="5">
        <f t="shared" ref="AV12" si="42">SUM(AV9:AV11)</f>
        <v>2394</v>
      </c>
      <c r="AW12" s="5">
        <f t="shared" ref="AW12" si="43">SUM(AW9:AW11)</f>
        <v>2564.9225000000001</v>
      </c>
      <c r="AX12" s="5">
        <f t="shared" ref="AX12" si="44">SUM(AX9:AX11)</f>
        <v>2692.4090699999997</v>
      </c>
      <c r="AY12" s="5">
        <f t="shared" ref="AY12" si="45">SUM(AY9:AY11)</f>
        <v>2809.1254104</v>
      </c>
      <c r="AZ12" s="5">
        <f t="shared" ref="AZ12" si="46">SUM(AZ9:AZ11)</f>
        <v>2916.080517888</v>
      </c>
      <c r="BA12" s="5">
        <f t="shared" ref="BA12" si="47">SUM(BA9:BA11)</f>
        <v>2991.6588171352805</v>
      </c>
      <c r="BB12" s="5">
        <f t="shared" ref="BB12" si="48">SUM(BB9:BB11)</f>
        <v>3060.9618783460014</v>
      </c>
      <c r="BC12" s="5">
        <f t="shared" ref="BC12" si="49">SUM(BC9:BC11)</f>
        <v>3127.622057651161</v>
      </c>
      <c r="BD12" s="5">
        <f t="shared" ref="BD12" si="50">SUM(BD9:BD11)</f>
        <v>3190.7418300265913</v>
      </c>
      <c r="BE12" s="5">
        <f t="shared" ref="BE12" si="51">SUM(BE9:BE11)</f>
        <v>3255.8585596914113</v>
      </c>
      <c r="BF12" s="5">
        <f t="shared" ref="BF12" si="52">SUM(BF9:BF11)</f>
        <v>3323.0559758363102</v>
      </c>
    </row>
    <row r="13" spans="2:59" s="1" customFormat="1" x14ac:dyDescent="0.3">
      <c r="B13" s="1" t="s">
        <v>25</v>
      </c>
      <c r="C13" s="9">
        <f t="shared" ref="C13:O13" si="53">C8-C12</f>
        <v>-14.400000000000006</v>
      </c>
      <c r="D13" s="9">
        <f t="shared" si="53"/>
        <v>-20.199999999999989</v>
      </c>
      <c r="E13" s="9">
        <f t="shared" si="53"/>
        <v>-40.800000000000011</v>
      </c>
      <c r="F13" s="9">
        <f t="shared" si="53"/>
        <v>-12.200000000000003</v>
      </c>
      <c r="G13" s="9">
        <f t="shared" si="53"/>
        <v>-10.399999999999999</v>
      </c>
      <c r="H13" s="9">
        <f t="shared" si="53"/>
        <v>-13.799999999999997</v>
      </c>
      <c r="I13" s="9">
        <f t="shared" si="53"/>
        <v>-18.700000000000003</v>
      </c>
      <c r="J13" s="9">
        <f t="shared" si="53"/>
        <v>-33.600000000000009</v>
      </c>
      <c r="K13" s="9">
        <f t="shared" si="53"/>
        <v>-73.000000000000014</v>
      </c>
      <c r="L13" s="9">
        <f t="shared" si="53"/>
        <v>-73.100000000000023</v>
      </c>
      <c r="M13" s="9">
        <f t="shared" si="53"/>
        <v>-51.600000000000023</v>
      </c>
      <c r="N13" s="9">
        <f t="shared" si="53"/>
        <v>-68.299999999999983</v>
      </c>
      <c r="O13" s="9">
        <f t="shared" si="53"/>
        <v>-134.89999999999998</v>
      </c>
      <c r="P13" s="9">
        <f t="shared" ref="P13:AC13" si="54">P8-P12</f>
        <v>-142.9</v>
      </c>
      <c r="Q13" s="9">
        <f t="shared" si="54"/>
        <v>-77.499999999999943</v>
      </c>
      <c r="R13" s="9">
        <f t="shared" si="54"/>
        <v>-139.70000000000005</v>
      </c>
      <c r="S13" s="9">
        <f t="shared" si="54"/>
        <v>-151.70000000000005</v>
      </c>
      <c r="T13" s="9">
        <f t="shared" si="54"/>
        <v>-170.2999999999999</v>
      </c>
      <c r="U13" s="9">
        <f t="shared" si="54"/>
        <v>-300.09999999999997</v>
      </c>
      <c r="V13" s="9">
        <f t="shared" si="54"/>
        <v>-301.8</v>
      </c>
      <c r="W13" s="9">
        <f t="shared" si="54"/>
        <v>-289.80000000000013</v>
      </c>
      <c r="X13" s="9">
        <f t="shared" si="54"/>
        <v>-313.8</v>
      </c>
      <c r="Y13" s="9">
        <f t="shared" si="54"/>
        <v>-300.09999999999991</v>
      </c>
      <c r="Z13" s="9">
        <f t="shared" si="54"/>
        <v>-355.3</v>
      </c>
      <c r="AA13" s="9">
        <f t="shared" si="54"/>
        <v>-302.30000000000013</v>
      </c>
      <c r="AB13" s="9">
        <f t="shared" si="54"/>
        <v>-238.09999999999997</v>
      </c>
      <c r="AC13" s="9">
        <f t="shared" si="54"/>
        <v>-278.79999999999995</v>
      </c>
      <c r="AD13" s="9">
        <f t="shared" ref="AD13:AH13" si="55">AD8-AD12</f>
        <v>-244</v>
      </c>
      <c r="AE13" s="9">
        <f t="shared" si="55"/>
        <v>-254.69999999999993</v>
      </c>
      <c r="AF13" s="9">
        <f t="shared" si="55"/>
        <v>-322.5</v>
      </c>
      <c r="AG13" s="9">
        <f t="shared" si="55"/>
        <v>-296.60000000000002</v>
      </c>
      <c r="AH13" s="9">
        <f t="shared" si="55"/>
        <v>-358.6</v>
      </c>
      <c r="AI13" s="9"/>
      <c r="AJ13" s="9"/>
      <c r="AK13" s="9"/>
      <c r="AL13" s="9"/>
      <c r="AO13" s="9">
        <f t="shared" ref="AO13:AR13" si="56">AO8-AO12</f>
        <v>-87.6</v>
      </c>
      <c r="AP13" s="9">
        <f t="shared" si="56"/>
        <v>-76.5</v>
      </c>
      <c r="AQ13" s="9">
        <f t="shared" si="56"/>
        <v>-265.99999999999994</v>
      </c>
      <c r="AR13" s="9">
        <f t="shared" si="56"/>
        <v>-494.99999999999989</v>
      </c>
      <c r="AS13" s="9">
        <f t="shared" ref="AS13" si="57">AS8-AS12</f>
        <v>-923.90000000000009</v>
      </c>
      <c r="AT13" s="9">
        <f t="shared" ref="AT13" si="58">AT8-AT12</f>
        <v>-1258.9999999999995</v>
      </c>
      <c r="AU13" s="9">
        <f t="shared" ref="AU13" si="59">AU8-AU12</f>
        <v>-1063.2</v>
      </c>
      <c r="AV13" s="9">
        <f t="shared" ref="AV13" si="60">AV8-AV12</f>
        <v>-1232.4000000000001</v>
      </c>
      <c r="AW13" s="9">
        <f t="shared" ref="AW13" si="61">AW8-AW12</f>
        <v>-574.20249999999987</v>
      </c>
      <c r="AX13" s="9">
        <f t="shared" ref="AX13" si="62">AX8-AX12</f>
        <v>-89.686169999999947</v>
      </c>
      <c r="AY13" s="9">
        <f t="shared" ref="AY13" si="63">AY8-AY12</f>
        <v>341.54864759999873</v>
      </c>
      <c r="AZ13" s="9">
        <f t="shared" ref="AZ13" si="64">AZ8-AZ12</f>
        <v>736.2848712720006</v>
      </c>
      <c r="BA13" s="9">
        <f t="shared" ref="BA13" si="65">BA8-BA12</f>
        <v>1077.6773142079201</v>
      </c>
      <c r="BB13" s="9">
        <f t="shared" ref="BB13" si="66">BB8-BB12</f>
        <v>1370.3903658786317</v>
      </c>
      <c r="BC13" s="9">
        <f t="shared" ref="BC13" si="67">BC8-BC12</f>
        <v>1634.5564958305181</v>
      </c>
      <c r="BD13" s="9">
        <f t="shared" ref="BD13" si="68">BD8-BD12</f>
        <v>1862.0213522088557</v>
      </c>
      <c r="BE13" s="9">
        <f t="shared" ref="BE13" si="69">BE8-BE12</f>
        <v>2102.5432397462887</v>
      </c>
      <c r="BF13" s="9">
        <f t="shared" ref="BF13" si="70">BF8-BF12</f>
        <v>2356.7963762446602</v>
      </c>
    </row>
    <row r="14" spans="2:59" x14ac:dyDescent="0.3">
      <c r="B14" t="s">
        <v>26</v>
      </c>
      <c r="C14" s="5">
        <v>-0.4</v>
      </c>
      <c r="D14" s="5">
        <v>-0.6</v>
      </c>
      <c r="E14" s="5">
        <v>-1.2</v>
      </c>
      <c r="F14" s="5">
        <v>-1.5</v>
      </c>
      <c r="G14" s="5">
        <v>-1.6</v>
      </c>
      <c r="H14" s="5">
        <v>-1.7</v>
      </c>
      <c r="I14" s="5">
        <v>-1.8</v>
      </c>
      <c r="J14" s="5">
        <v>-1.5</v>
      </c>
      <c r="K14" s="5">
        <v>-1.3</v>
      </c>
      <c r="L14" s="5">
        <v>-1.3</v>
      </c>
      <c r="M14" s="5">
        <v>-0.2</v>
      </c>
      <c r="N14" s="5">
        <f>AQ14-M14-L14-K14</f>
        <v>1</v>
      </c>
      <c r="O14" s="5">
        <v>0</v>
      </c>
      <c r="P14" s="5">
        <v>0</v>
      </c>
      <c r="Q14" s="5">
        <v>0</v>
      </c>
      <c r="R14" s="5">
        <v>0</v>
      </c>
      <c r="S14" s="5">
        <v>-0.2</v>
      </c>
      <c r="T14" s="5">
        <v>-4.2</v>
      </c>
      <c r="U14" s="5">
        <v>-12.8</v>
      </c>
      <c r="V14" s="5">
        <v>-21.6</v>
      </c>
      <c r="W14" s="5">
        <v>-31.1</v>
      </c>
      <c r="X14" s="5">
        <v>-34.799999999999997</v>
      </c>
      <c r="Y14" s="5">
        <v>-36.4</v>
      </c>
      <c r="Z14" s="5">
        <v>-39.5</v>
      </c>
      <c r="AA14" s="5">
        <v>-42.2</v>
      </c>
      <c r="AB14" s="5">
        <v>-44.4</v>
      </c>
      <c r="AC14" s="5">
        <v>-46.7</v>
      </c>
      <c r="AD14" s="5">
        <v>-46.3</v>
      </c>
      <c r="AE14" s="5">
        <v>-46.3</v>
      </c>
      <c r="AF14" s="5">
        <v>-48.8</v>
      </c>
      <c r="AG14" s="5">
        <v>-52.1</v>
      </c>
      <c r="AH14" s="5">
        <v>-54.4</v>
      </c>
      <c r="AI14" s="5"/>
      <c r="AJ14" s="5"/>
      <c r="AK14" s="5"/>
      <c r="AL14" s="5"/>
      <c r="AO14" s="5">
        <f>SUM(C14:F14)</f>
        <v>-3.7</v>
      </c>
      <c r="AP14" s="5">
        <f>SUM(G14:J14)</f>
        <v>-6.6</v>
      </c>
      <c r="AQ14" s="5">
        <v>-1.8</v>
      </c>
      <c r="AR14" s="5">
        <f>SUM(O14:R14)</f>
        <v>0</v>
      </c>
      <c r="AS14" s="5">
        <f>SUM(S14:V14)</f>
        <v>-38.800000000000004</v>
      </c>
      <c r="AT14" s="5">
        <f>SUM(W14:Z14)</f>
        <v>-141.80000000000001</v>
      </c>
      <c r="AU14" s="5">
        <f>SUM(AA14:AD14)</f>
        <v>-179.60000000000002</v>
      </c>
      <c r="AV14" s="5">
        <f>SUM(AE14:AH14)</f>
        <v>-201.6</v>
      </c>
      <c r="AW14" s="5">
        <f t="shared" ref="AW14:BA15" si="71">AV14*1.01</f>
        <v>-203.61599999999999</v>
      </c>
      <c r="AX14" s="5">
        <f t="shared" si="71"/>
        <v>-205.65215999999998</v>
      </c>
      <c r="AY14" s="5">
        <f t="shared" si="71"/>
        <v>-207.70868159999998</v>
      </c>
      <c r="AZ14" s="5">
        <f t="shared" si="71"/>
        <v>-209.78576841599997</v>
      </c>
      <c r="BA14" s="5">
        <f t="shared" si="71"/>
        <v>-211.88362610015997</v>
      </c>
      <c r="BB14" s="5">
        <f t="shared" ref="BB14:BB15" si="72">BA14*1.01</f>
        <v>-214.00246236116158</v>
      </c>
      <c r="BC14" s="5">
        <f t="shared" ref="BC14:BC15" si="73">BB14*1.01</f>
        <v>-216.1424869847732</v>
      </c>
      <c r="BD14" s="5">
        <f t="shared" ref="BD14:BD15" si="74">BC14*1.01</f>
        <v>-218.30391185462094</v>
      </c>
      <c r="BE14" s="5">
        <f t="shared" ref="BE14:BE15" si="75">BD14*1.01</f>
        <v>-220.48695097316715</v>
      </c>
      <c r="BF14" s="5">
        <f t="shared" ref="BF14:BF15" si="76">BE14*1.01</f>
        <v>-222.69182048289883</v>
      </c>
    </row>
    <row r="15" spans="2:59" x14ac:dyDescent="0.3">
      <c r="B15" t="s">
        <v>27</v>
      </c>
      <c r="C15" s="5">
        <v>0.4</v>
      </c>
      <c r="D15" s="5">
        <v>4</v>
      </c>
      <c r="E15" s="5">
        <v>0</v>
      </c>
      <c r="F15" s="5">
        <v>-0.1</v>
      </c>
      <c r="G15" s="5">
        <v>0.1</v>
      </c>
      <c r="H15" s="5">
        <v>0.1</v>
      </c>
      <c r="I15" s="5">
        <v>0.4</v>
      </c>
      <c r="J15" s="5">
        <v>0.7</v>
      </c>
      <c r="K15" s="5">
        <v>3.2</v>
      </c>
      <c r="L15" s="5">
        <v>3.2</v>
      </c>
      <c r="M15" s="5">
        <v>-1.3</v>
      </c>
      <c r="N15" s="5">
        <f>AQ15-M15-L15-K15</f>
        <v>-5.1000000000000005</v>
      </c>
      <c r="O15" s="5">
        <v>1.1000000000000001</v>
      </c>
      <c r="P15" s="5">
        <v>0</v>
      </c>
      <c r="Q15" s="5">
        <v>0.8</v>
      </c>
      <c r="R15" s="5">
        <v>7</v>
      </c>
      <c r="S15" s="5">
        <f>10+0.4</f>
        <v>10.4</v>
      </c>
      <c r="T15" s="5">
        <f>9.9+3.1</f>
        <v>13</v>
      </c>
      <c r="U15" s="5">
        <f>10+4.3</f>
        <v>14.3</v>
      </c>
      <c r="V15" s="5">
        <f>10-2</f>
        <v>8</v>
      </c>
      <c r="W15" s="5">
        <f>10+0.4</f>
        <v>10.4</v>
      </c>
      <c r="X15" s="5">
        <f>10.1-3.3</f>
        <v>6.8</v>
      </c>
      <c r="Y15" s="5">
        <f>10.3+4.3</f>
        <v>14.600000000000001</v>
      </c>
      <c r="Z15" s="5">
        <f>10.3-0.9</f>
        <v>9.4</v>
      </c>
      <c r="AA15" s="5">
        <f>10.4+0.3</f>
        <v>10.700000000000001</v>
      </c>
      <c r="AB15" s="5">
        <f>10.2+3.3</f>
        <v>13.5</v>
      </c>
      <c r="AC15" s="5">
        <f>10.3-2.4</f>
        <v>7.9</v>
      </c>
      <c r="AD15" s="5">
        <f>10.3+10.2</f>
        <v>20.5</v>
      </c>
      <c r="AE15" s="5">
        <f>10.4-3.3</f>
        <v>7.1000000000000005</v>
      </c>
      <c r="AF15" s="5">
        <f>10.3-5.1</f>
        <v>5.2000000000000011</v>
      </c>
      <c r="AG15" s="5">
        <f>10.4+1.8</f>
        <v>12.200000000000001</v>
      </c>
      <c r="AH15" s="5">
        <f>10.4+2.5</f>
        <v>12.9</v>
      </c>
      <c r="AI15" s="5"/>
      <c r="AJ15" s="5"/>
      <c r="AK15" s="5"/>
      <c r="AL15" s="5"/>
      <c r="AO15" s="5">
        <f>SUM(C15:F15)</f>
        <v>4.3000000000000007</v>
      </c>
      <c r="AP15" s="5">
        <f>SUM(G15:J15)</f>
        <v>1.3</v>
      </c>
      <c r="AQ15" s="5">
        <v>0</v>
      </c>
      <c r="AR15" s="5">
        <f>SUM(O15:R15)</f>
        <v>8.9</v>
      </c>
      <c r="AS15" s="5">
        <f>SUM(S15:V15)</f>
        <v>45.7</v>
      </c>
      <c r="AT15" s="5">
        <f>SUM(W15:Z15)</f>
        <v>41.2</v>
      </c>
      <c r="AU15" s="5">
        <f>SUM(AA15:AD15)</f>
        <v>52.6</v>
      </c>
      <c r="AV15" s="5">
        <f>SUM(AE15:AH15)</f>
        <v>37.4</v>
      </c>
      <c r="AW15" s="5">
        <f>AV15*1.01</f>
        <v>37.774000000000001</v>
      </c>
      <c r="AX15" s="5">
        <f t="shared" si="71"/>
        <v>38.151740000000004</v>
      </c>
      <c r="AY15" s="5">
        <f t="shared" si="71"/>
        <v>38.533257400000004</v>
      </c>
      <c r="AZ15" s="5">
        <f t="shared" si="71"/>
        <v>38.918589974000007</v>
      </c>
      <c r="BA15" s="5">
        <f t="shared" si="71"/>
        <v>39.307775873740006</v>
      </c>
      <c r="BB15" s="5">
        <f t="shared" si="72"/>
        <v>39.700853632477404</v>
      </c>
      <c r="BC15" s="5">
        <f t="shared" si="73"/>
        <v>40.09786216880218</v>
      </c>
      <c r="BD15" s="5">
        <f t="shared" si="74"/>
        <v>40.498840790490199</v>
      </c>
      <c r="BE15" s="5">
        <f t="shared" si="75"/>
        <v>40.903829198395101</v>
      </c>
      <c r="BF15" s="5">
        <f t="shared" si="76"/>
        <v>41.312867490379055</v>
      </c>
    </row>
    <row r="16" spans="2:59" s="1" customFormat="1" x14ac:dyDescent="0.3">
      <c r="B16" s="1" t="s">
        <v>28</v>
      </c>
      <c r="C16" s="9">
        <f t="shared" ref="C16:Q16" si="77">C13-C14-C15</f>
        <v>-14.400000000000006</v>
      </c>
      <c r="D16" s="9">
        <f t="shared" si="77"/>
        <v>-23.599999999999987</v>
      </c>
      <c r="E16" s="9">
        <f t="shared" si="77"/>
        <v>-39.600000000000009</v>
      </c>
      <c r="F16" s="9">
        <f t="shared" si="77"/>
        <v>-10.600000000000003</v>
      </c>
      <c r="G16" s="9">
        <f t="shared" si="77"/>
        <v>-8.8999999999999986</v>
      </c>
      <c r="H16" s="9">
        <f t="shared" si="77"/>
        <v>-12.199999999999998</v>
      </c>
      <c r="I16" s="9">
        <f t="shared" si="77"/>
        <v>-17.3</v>
      </c>
      <c r="J16" s="9">
        <f t="shared" si="77"/>
        <v>-32.800000000000011</v>
      </c>
      <c r="K16" s="9">
        <f t="shared" si="77"/>
        <v>-74.90000000000002</v>
      </c>
      <c r="L16" s="9">
        <f t="shared" si="77"/>
        <v>-75.000000000000028</v>
      </c>
      <c r="M16" s="9">
        <f t="shared" si="77"/>
        <v>-50.100000000000023</v>
      </c>
      <c r="N16" s="9">
        <f t="shared" si="77"/>
        <v>-64.199999999999989</v>
      </c>
      <c r="O16" s="9">
        <f t="shared" si="77"/>
        <v>-135.99999999999997</v>
      </c>
      <c r="P16" s="9">
        <f t="shared" si="77"/>
        <v>-142.9</v>
      </c>
      <c r="Q16" s="9">
        <f t="shared" si="77"/>
        <v>-78.29999999999994</v>
      </c>
      <c r="R16" s="9">
        <f t="shared" ref="R16:S16" si="78">R13-R14-R15</f>
        <v>-146.70000000000005</v>
      </c>
      <c r="S16" s="9">
        <f t="shared" si="78"/>
        <v>-161.90000000000006</v>
      </c>
      <c r="T16" s="9">
        <f t="shared" ref="T16" si="79">T13-T14-T15</f>
        <v>-179.09999999999991</v>
      </c>
      <c r="U16" s="9">
        <f t="shared" ref="U16:V16" si="80">U13-U14-U15</f>
        <v>-301.59999999999997</v>
      </c>
      <c r="V16" s="9">
        <f t="shared" si="80"/>
        <v>-288.2</v>
      </c>
      <c r="W16" s="9">
        <f t="shared" ref="W16" si="81">W13-W14-W15</f>
        <v>-269.10000000000008</v>
      </c>
      <c r="X16" s="9">
        <f t="shared" ref="X16" si="82">X13-X14-X15</f>
        <v>-285.8</v>
      </c>
      <c r="Y16" s="9">
        <f t="shared" ref="Y16:Z16" si="83">Y13-Y14-Y15</f>
        <v>-278.29999999999995</v>
      </c>
      <c r="Z16" s="9">
        <f t="shared" si="83"/>
        <v>-325.2</v>
      </c>
      <c r="AA16" s="9">
        <f t="shared" ref="AA16" si="84">AA13-AA14-AA15</f>
        <v>-270.80000000000013</v>
      </c>
      <c r="AB16" s="9">
        <f t="shared" ref="AB16" si="85">AB13-AB14-AB15</f>
        <v>-207.19999999999996</v>
      </c>
      <c r="AC16" s="9">
        <f t="shared" ref="AC16:AH16" si="86">AC13-AC14-AC15</f>
        <v>-239.99999999999997</v>
      </c>
      <c r="AD16" s="9">
        <f t="shared" si="86"/>
        <v>-218.2</v>
      </c>
      <c r="AE16" s="9">
        <f t="shared" si="86"/>
        <v>-215.49999999999991</v>
      </c>
      <c r="AF16" s="9">
        <f t="shared" si="86"/>
        <v>-278.89999999999998</v>
      </c>
      <c r="AG16" s="9">
        <f t="shared" si="86"/>
        <v>-256.70000000000005</v>
      </c>
      <c r="AH16" s="9">
        <f t="shared" si="86"/>
        <v>-317.10000000000002</v>
      </c>
      <c r="AI16" s="9"/>
      <c r="AJ16" s="9"/>
      <c r="AK16" s="9"/>
      <c r="AL16" s="9"/>
      <c r="AO16" s="9">
        <f>AO13-AO14-AO15</f>
        <v>-88.199999999999989</v>
      </c>
      <c r="AP16" s="9">
        <f>AP13-AP14-AP15</f>
        <v>-71.2</v>
      </c>
      <c r="AQ16" s="9">
        <f>AQ13-AQ14-AQ15</f>
        <v>-264.19999999999993</v>
      </c>
      <c r="AR16" s="9">
        <f t="shared" ref="AR16:BA16" si="87">AR13-AR14-AR15</f>
        <v>-503.89999999999986</v>
      </c>
      <c r="AS16" s="9">
        <f t="shared" si="87"/>
        <v>-930.80000000000018</v>
      </c>
      <c r="AT16" s="9">
        <f t="shared" si="87"/>
        <v>-1158.3999999999996</v>
      </c>
      <c r="AU16" s="9">
        <f t="shared" si="87"/>
        <v>-936.2</v>
      </c>
      <c r="AV16" s="9">
        <f t="shared" si="87"/>
        <v>-1068.2000000000003</v>
      </c>
      <c r="AW16" s="9">
        <f t="shared" si="87"/>
        <v>-408.36049999999989</v>
      </c>
      <c r="AX16" s="9">
        <f t="shared" si="87"/>
        <v>77.81425000000003</v>
      </c>
      <c r="AY16" s="9">
        <f t="shared" si="87"/>
        <v>510.72407179999868</v>
      </c>
      <c r="AZ16" s="9">
        <f t="shared" si="87"/>
        <v>907.15204971400055</v>
      </c>
      <c r="BA16" s="9">
        <f t="shared" si="87"/>
        <v>1250.2531644343401</v>
      </c>
      <c r="BB16" s="9">
        <f t="shared" ref="BB16:BF16" si="88">BB13-BB14-BB15</f>
        <v>1544.6919746073158</v>
      </c>
      <c r="BC16" s="9">
        <f t="shared" si="88"/>
        <v>1810.6011206464891</v>
      </c>
      <c r="BD16" s="9">
        <f t="shared" si="88"/>
        <v>2039.8264232729862</v>
      </c>
      <c r="BE16" s="9">
        <f t="shared" si="88"/>
        <v>2282.1263615210605</v>
      </c>
      <c r="BF16" s="9">
        <f t="shared" si="88"/>
        <v>2538.17532923718</v>
      </c>
    </row>
    <row r="17" spans="2:171" x14ac:dyDescent="0.3">
      <c r="B17" t="s">
        <v>29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f>AQ17-M17-L17-K17</f>
        <v>-6.7</v>
      </c>
      <c r="O17" s="5">
        <v>0</v>
      </c>
      <c r="P17" s="5">
        <v>0</v>
      </c>
      <c r="Q17" s="5">
        <v>-1</v>
      </c>
      <c r="R17" s="5">
        <v>0.7</v>
      </c>
      <c r="S17" s="5">
        <v>0.3</v>
      </c>
      <c r="T17" s="5">
        <v>-0.3</v>
      </c>
      <c r="U17" s="5">
        <v>0.4</v>
      </c>
      <c r="V17" s="5">
        <v>3.2</v>
      </c>
      <c r="W17" s="5">
        <v>0.7</v>
      </c>
      <c r="X17" s="5">
        <v>-1.2</v>
      </c>
      <c r="Y17" s="5">
        <v>0.7</v>
      </c>
      <c r="Z17" s="5">
        <v>0.3</v>
      </c>
      <c r="AA17" s="5">
        <v>1.1000000000000001</v>
      </c>
      <c r="AB17" s="5">
        <v>0.1</v>
      </c>
      <c r="AC17" s="5">
        <v>0.3</v>
      </c>
      <c r="AD17" s="5">
        <v>2.6</v>
      </c>
      <c r="AE17" s="5">
        <v>0.9</v>
      </c>
      <c r="AF17" s="5">
        <v>1</v>
      </c>
      <c r="AG17" s="5">
        <v>0.8</v>
      </c>
      <c r="AH17" s="5">
        <v>1</v>
      </c>
      <c r="AI17" s="5"/>
      <c r="AJ17" s="5"/>
      <c r="AK17" s="5"/>
      <c r="AL17" s="5"/>
      <c r="AO17" s="5">
        <f>SUM(C17:F17)</f>
        <v>0</v>
      </c>
      <c r="AP17" s="5">
        <f>SUM(G17:J17)</f>
        <v>0</v>
      </c>
      <c r="AQ17" s="5">
        <v>-6.7</v>
      </c>
      <c r="AR17" s="5">
        <f>SUM(O17:R17)</f>
        <v>-0.30000000000000004</v>
      </c>
      <c r="AS17" s="5">
        <f>SUM(S17:V17)</f>
        <v>3.6</v>
      </c>
      <c r="AT17" s="5">
        <f>SUM(W17:Z17)</f>
        <v>0.49999999999999994</v>
      </c>
      <c r="AU17" s="5">
        <f>SUM(AA17:AD17)</f>
        <v>4.1000000000000005</v>
      </c>
      <c r="AV17" s="5">
        <f>SUM(AE17:AH17)</f>
        <v>3.7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</row>
    <row r="18" spans="2:171" x14ac:dyDescent="0.3">
      <c r="B18" t="s">
        <v>30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0.1</v>
      </c>
      <c r="J18" s="5">
        <v>-0.2</v>
      </c>
      <c r="K18" s="5">
        <v>-0.5</v>
      </c>
      <c r="L18" s="5">
        <v>-0.7</v>
      </c>
      <c r="M18" s="5">
        <v>-1.4</v>
      </c>
      <c r="N18" s="5">
        <f>AQ18-M18-L18-K18</f>
        <v>-1.8000000000000007</v>
      </c>
      <c r="O18" s="5">
        <v>-1.9</v>
      </c>
      <c r="P18" s="5">
        <v>-2.8</v>
      </c>
      <c r="Q18" s="5">
        <v>-3.2</v>
      </c>
      <c r="R18" s="5">
        <v>-4</v>
      </c>
      <c r="S18" s="5">
        <v>-1.8</v>
      </c>
      <c r="T18" s="5">
        <v>-2.2999999999999998</v>
      </c>
      <c r="U18" s="5">
        <v>-4.0999999999999996</v>
      </c>
      <c r="V18" s="5">
        <v>-1.6</v>
      </c>
      <c r="W18" s="5">
        <v>-1.6</v>
      </c>
      <c r="X18" s="5">
        <v>-2.1</v>
      </c>
      <c r="Y18" s="5">
        <v>-1.7</v>
      </c>
      <c r="Z18" s="5">
        <v>-1.6</v>
      </c>
      <c r="AA18" s="5">
        <v>-1.3</v>
      </c>
      <c r="AB18" s="5">
        <v>-1.3</v>
      </c>
      <c r="AC18" s="5">
        <v>-1.1000000000000001</v>
      </c>
      <c r="AD18" s="5">
        <v>-1.5</v>
      </c>
      <c r="AE18" s="5">
        <v>-1.3</v>
      </c>
      <c r="AF18" s="5">
        <v>-1.4</v>
      </c>
      <c r="AG18" s="5">
        <v>-1.7</v>
      </c>
      <c r="AH18" s="5">
        <v>-2.1</v>
      </c>
      <c r="AI18" s="5"/>
      <c r="AJ18" s="5"/>
      <c r="AK18" s="5"/>
      <c r="AL18" s="5"/>
      <c r="AO18" s="5">
        <f>SUM(C18:F18)</f>
        <v>0</v>
      </c>
      <c r="AP18" s="5">
        <f>SUM(G18:J18)</f>
        <v>-0.1</v>
      </c>
      <c r="AQ18" s="5">
        <v>-4.4000000000000004</v>
      </c>
      <c r="AR18" s="5">
        <f>SUM(O18:R18)</f>
        <v>-11.899999999999999</v>
      </c>
      <c r="AS18" s="5">
        <f>SUM(S18:V18)</f>
        <v>-9.7999999999999989</v>
      </c>
      <c r="AT18" s="5">
        <f>SUM(W18:Z18)</f>
        <v>-7</v>
      </c>
      <c r="AU18" s="5">
        <f>SUM(AA18:AD18)</f>
        <v>-5.2</v>
      </c>
      <c r="AV18" s="5">
        <f>SUM(AE18:AH18)</f>
        <v>-6.5</v>
      </c>
      <c r="AW18" s="5">
        <f t="shared" ref="AW18:BF18" si="89">AW16*0.01</f>
        <v>-4.0836049999999986</v>
      </c>
      <c r="AX18" s="5">
        <f t="shared" si="89"/>
        <v>0.77814250000000029</v>
      </c>
      <c r="AY18" s="5">
        <f t="shared" si="89"/>
        <v>5.1072407179999866</v>
      </c>
      <c r="AZ18" s="5">
        <f t="shared" si="89"/>
        <v>9.0715204971400052</v>
      </c>
      <c r="BA18" s="5">
        <f t="shared" si="89"/>
        <v>12.502531644343401</v>
      </c>
      <c r="BB18" s="5">
        <f t="shared" si="89"/>
        <v>15.446919746073158</v>
      </c>
      <c r="BC18" s="5">
        <f t="shared" si="89"/>
        <v>18.106011206464892</v>
      </c>
      <c r="BD18" s="5">
        <f t="shared" si="89"/>
        <v>20.398264232729861</v>
      </c>
      <c r="BE18" s="5">
        <f t="shared" si="89"/>
        <v>22.821263615210604</v>
      </c>
      <c r="BF18" s="5">
        <f t="shared" si="89"/>
        <v>25.381753292371801</v>
      </c>
    </row>
    <row r="19" spans="2:171" s="1" customFormat="1" x14ac:dyDescent="0.3">
      <c r="B19" s="1" t="s">
        <v>31</v>
      </c>
      <c r="C19" s="9">
        <f t="shared" ref="C19:N19" si="90">C16-C17-C18</f>
        <v>-14.400000000000006</v>
      </c>
      <c r="D19" s="9">
        <f t="shared" si="90"/>
        <v>-23.599999999999987</v>
      </c>
      <c r="E19" s="9">
        <f t="shared" si="90"/>
        <v>-39.600000000000009</v>
      </c>
      <c r="F19" s="9">
        <f t="shared" si="90"/>
        <v>-10.600000000000003</v>
      </c>
      <c r="G19" s="9">
        <f t="shared" si="90"/>
        <v>-8.8999999999999986</v>
      </c>
      <c r="H19" s="9">
        <f t="shared" si="90"/>
        <v>-12.199999999999998</v>
      </c>
      <c r="I19" s="9">
        <f t="shared" si="90"/>
        <v>-17.400000000000002</v>
      </c>
      <c r="J19" s="9">
        <f t="shared" si="90"/>
        <v>-32.600000000000009</v>
      </c>
      <c r="K19" s="9">
        <f t="shared" si="90"/>
        <v>-74.40000000000002</v>
      </c>
      <c r="L19" s="9">
        <f t="shared" si="90"/>
        <v>-74.300000000000026</v>
      </c>
      <c r="M19" s="9">
        <f t="shared" si="90"/>
        <v>-48.700000000000024</v>
      </c>
      <c r="N19" s="9">
        <f t="shared" si="90"/>
        <v>-55.699999999999989</v>
      </c>
      <c r="O19" s="9">
        <f t="shared" ref="O19:Q19" si="91">O16-O17-O18</f>
        <v>-134.09999999999997</v>
      </c>
      <c r="P19" s="9">
        <f t="shared" si="91"/>
        <v>-140.1</v>
      </c>
      <c r="Q19" s="9">
        <f t="shared" si="91"/>
        <v>-74.099999999999937</v>
      </c>
      <c r="R19" s="9">
        <f t="shared" ref="R19:S19" si="92">R16-R17-R18</f>
        <v>-143.40000000000003</v>
      </c>
      <c r="S19" s="9">
        <f t="shared" si="92"/>
        <v>-160.40000000000006</v>
      </c>
      <c r="T19" s="9">
        <f t="shared" ref="T19" si="93">T16-T17-T18</f>
        <v>-176.49999999999989</v>
      </c>
      <c r="U19" s="9">
        <f t="shared" ref="U19:V19" si="94">U16-U17-U18</f>
        <v>-297.89999999999992</v>
      </c>
      <c r="V19" s="9">
        <f t="shared" si="94"/>
        <v>-289.79999999999995</v>
      </c>
      <c r="W19" s="9">
        <f t="shared" ref="W19" si="95">W16-W17-W18</f>
        <v>-268.20000000000005</v>
      </c>
      <c r="X19" s="9">
        <f t="shared" ref="X19" si="96">X16-X17-X18</f>
        <v>-282.5</v>
      </c>
      <c r="Y19" s="9">
        <f t="shared" ref="Y19:Z19" si="97">Y16-Y17-Y18</f>
        <v>-277.29999999999995</v>
      </c>
      <c r="Z19" s="9">
        <f t="shared" si="97"/>
        <v>-323.89999999999998</v>
      </c>
      <c r="AA19" s="9">
        <f t="shared" ref="AA19" si="98">AA16-AA17-AA18</f>
        <v>-270.60000000000014</v>
      </c>
      <c r="AB19" s="9">
        <f t="shared" ref="AB19" si="99">AB16-AB17-AB18</f>
        <v>-205.99999999999994</v>
      </c>
      <c r="AC19" s="9">
        <f t="shared" ref="AC19:AD19" si="100">AC16-AC17-AC18</f>
        <v>-239.2</v>
      </c>
      <c r="AD19" s="9">
        <f t="shared" si="100"/>
        <v>-219.29999999999998</v>
      </c>
      <c r="AE19" s="9">
        <f t="shared" ref="AE19:AH19" si="101">AE16-AE17-AE18</f>
        <v>-215.09999999999991</v>
      </c>
      <c r="AF19" s="9">
        <f t="shared" si="101"/>
        <v>-278.5</v>
      </c>
      <c r="AG19" s="9">
        <f t="shared" si="101"/>
        <v>-255.80000000000007</v>
      </c>
      <c r="AH19" s="9">
        <f t="shared" si="101"/>
        <v>-316</v>
      </c>
      <c r="AI19" s="9"/>
      <c r="AJ19" s="9"/>
      <c r="AK19" s="9"/>
      <c r="AL19" s="9"/>
      <c r="AO19" s="9">
        <f>AO16-AO17-AO18</f>
        <v>-88.199999999999989</v>
      </c>
      <c r="AP19" s="9">
        <f>AP16-AP17-AP18</f>
        <v>-71.100000000000009</v>
      </c>
      <c r="AQ19" s="9">
        <f>AQ16-AQ17-AQ18</f>
        <v>-253.09999999999994</v>
      </c>
      <c r="AR19" s="9">
        <f t="shared" ref="AR19:BA19" si="102">AR16-AR17-AR18</f>
        <v>-491.69999999999987</v>
      </c>
      <c r="AS19" s="9">
        <f t="shared" si="102"/>
        <v>-924.60000000000025</v>
      </c>
      <c r="AT19" s="9">
        <f t="shared" si="102"/>
        <v>-1151.8999999999996</v>
      </c>
      <c r="AU19" s="9">
        <f t="shared" si="102"/>
        <v>-935.1</v>
      </c>
      <c r="AV19" s="9">
        <f t="shared" si="102"/>
        <v>-1065.4000000000003</v>
      </c>
      <c r="AW19" s="9">
        <f t="shared" si="102"/>
        <v>-404.27689499999991</v>
      </c>
      <c r="AX19" s="9">
        <f t="shared" si="102"/>
        <v>77.036107500000028</v>
      </c>
      <c r="AY19" s="9">
        <f t="shared" si="102"/>
        <v>505.61683108199867</v>
      </c>
      <c r="AZ19" s="9">
        <f t="shared" si="102"/>
        <v>898.08052921686055</v>
      </c>
      <c r="BA19" s="9">
        <f t="shared" si="102"/>
        <v>1237.7506327899966</v>
      </c>
      <c r="BB19" s="9">
        <f t="shared" ref="BB19:BF19" si="103">BB16-BB17-BB18</f>
        <v>1529.2450548612426</v>
      </c>
      <c r="BC19" s="9">
        <f t="shared" si="103"/>
        <v>1792.4951094400242</v>
      </c>
      <c r="BD19" s="9">
        <f t="shared" si="103"/>
        <v>2019.4281590402563</v>
      </c>
      <c r="BE19" s="9">
        <f t="shared" si="103"/>
        <v>2259.3050979058498</v>
      </c>
      <c r="BF19" s="9">
        <f t="shared" si="103"/>
        <v>2512.7935759448083</v>
      </c>
      <c r="BG19" s="1">
        <f>BF19*(1+$BI$26)</f>
        <v>2487.6656401853602</v>
      </c>
      <c r="BH19" s="1">
        <f t="shared" ref="BH19:DS19" si="104">BG19*(1+$BI$26)</f>
        <v>2462.7889837835064</v>
      </c>
      <c r="BI19" s="1">
        <f t="shared" si="104"/>
        <v>2438.1610939456714</v>
      </c>
      <c r="BJ19" s="1">
        <f t="shared" si="104"/>
        <v>2413.7794830062148</v>
      </c>
      <c r="BK19" s="1">
        <f t="shared" si="104"/>
        <v>2389.6416881761525</v>
      </c>
      <c r="BL19" s="1">
        <f t="shared" si="104"/>
        <v>2365.7452712943909</v>
      </c>
      <c r="BM19" s="1">
        <f t="shared" si="104"/>
        <v>2342.0878185814472</v>
      </c>
      <c r="BN19" s="1">
        <f t="shared" si="104"/>
        <v>2318.6669403956325</v>
      </c>
      <c r="BO19" s="1">
        <f t="shared" si="104"/>
        <v>2295.4802709916762</v>
      </c>
      <c r="BP19" s="1">
        <f t="shared" si="104"/>
        <v>2272.5254682817595</v>
      </c>
      <c r="BQ19" s="1">
        <f t="shared" si="104"/>
        <v>2249.8002135989418</v>
      </c>
      <c r="BR19" s="1">
        <f t="shared" si="104"/>
        <v>2227.3022114629525</v>
      </c>
      <c r="BS19" s="1">
        <f t="shared" si="104"/>
        <v>2205.0291893483231</v>
      </c>
      <c r="BT19" s="1">
        <f t="shared" si="104"/>
        <v>2182.9788974548401</v>
      </c>
      <c r="BU19" s="1">
        <f t="shared" si="104"/>
        <v>2161.1491084802915</v>
      </c>
      <c r="BV19" s="1">
        <f t="shared" si="104"/>
        <v>2139.5376173954887</v>
      </c>
      <c r="BW19" s="1">
        <f t="shared" si="104"/>
        <v>2118.1422412215338</v>
      </c>
      <c r="BX19" s="1">
        <f t="shared" si="104"/>
        <v>2096.9608188093184</v>
      </c>
      <c r="BY19" s="1">
        <f t="shared" si="104"/>
        <v>2075.991210621225</v>
      </c>
      <c r="BZ19" s="1">
        <f t="shared" si="104"/>
        <v>2055.2312985150129</v>
      </c>
      <c r="CA19" s="1">
        <f t="shared" si="104"/>
        <v>2034.6789855298628</v>
      </c>
      <c r="CB19" s="1">
        <f t="shared" si="104"/>
        <v>2014.3321956745642</v>
      </c>
      <c r="CC19" s="1">
        <f t="shared" si="104"/>
        <v>1994.1888737178185</v>
      </c>
      <c r="CD19" s="1">
        <f t="shared" si="104"/>
        <v>1974.2469849806403</v>
      </c>
      <c r="CE19" s="1">
        <f t="shared" si="104"/>
        <v>1954.5045151308339</v>
      </c>
      <c r="CF19" s="1">
        <f t="shared" si="104"/>
        <v>1934.9594699795255</v>
      </c>
      <c r="CG19" s="1">
        <f t="shared" si="104"/>
        <v>1915.6098752797302</v>
      </c>
      <c r="CH19" s="1">
        <f t="shared" si="104"/>
        <v>1896.4537765269329</v>
      </c>
      <c r="CI19" s="1">
        <f t="shared" si="104"/>
        <v>1877.4892387616635</v>
      </c>
      <c r="CJ19" s="1">
        <f t="shared" si="104"/>
        <v>1858.714346374047</v>
      </c>
      <c r="CK19" s="1">
        <f t="shared" si="104"/>
        <v>1840.1272029103066</v>
      </c>
      <c r="CL19" s="1">
        <f t="shared" si="104"/>
        <v>1821.7259308812036</v>
      </c>
      <c r="CM19" s="1">
        <f t="shared" si="104"/>
        <v>1803.5086715723914</v>
      </c>
      <c r="CN19" s="1">
        <f t="shared" si="104"/>
        <v>1785.4735848566675</v>
      </c>
      <c r="CO19" s="1">
        <f t="shared" si="104"/>
        <v>1767.6188490081008</v>
      </c>
      <c r="CP19" s="1">
        <f t="shared" si="104"/>
        <v>1749.9426605180197</v>
      </c>
      <c r="CQ19" s="1">
        <f t="shared" si="104"/>
        <v>1732.4432339128396</v>
      </c>
      <c r="CR19" s="1">
        <f t="shared" si="104"/>
        <v>1715.1188015737112</v>
      </c>
      <c r="CS19" s="1">
        <f t="shared" si="104"/>
        <v>1697.9676135579741</v>
      </c>
      <c r="CT19" s="1">
        <f t="shared" si="104"/>
        <v>1680.9879374223945</v>
      </c>
      <c r="CU19" s="1">
        <f t="shared" si="104"/>
        <v>1664.1780580481704</v>
      </c>
      <c r="CV19" s="1">
        <f t="shared" si="104"/>
        <v>1647.5362774676887</v>
      </c>
      <c r="CW19" s="1">
        <f t="shared" si="104"/>
        <v>1631.0609146930119</v>
      </c>
      <c r="CX19" s="1">
        <f t="shared" si="104"/>
        <v>1614.7503055460818</v>
      </c>
      <c r="CY19" s="1">
        <f t="shared" si="104"/>
        <v>1598.6028024906209</v>
      </c>
      <c r="CZ19" s="1">
        <f t="shared" si="104"/>
        <v>1582.6167744657146</v>
      </c>
      <c r="DA19" s="1">
        <f t="shared" si="104"/>
        <v>1566.7906067210574</v>
      </c>
      <c r="DB19" s="1">
        <f t="shared" si="104"/>
        <v>1551.1227006538468</v>
      </c>
      <c r="DC19" s="1">
        <f t="shared" si="104"/>
        <v>1535.6114736473082</v>
      </c>
      <c r="DD19" s="1">
        <f t="shared" si="104"/>
        <v>1520.2553589108352</v>
      </c>
      <c r="DE19" s="1">
        <f t="shared" si="104"/>
        <v>1505.0528053217267</v>
      </c>
      <c r="DF19" s="1">
        <f t="shared" si="104"/>
        <v>1490.0022772685095</v>
      </c>
      <c r="DG19" s="1">
        <f t="shared" si="104"/>
        <v>1475.1022544958244</v>
      </c>
      <c r="DH19" s="1">
        <f t="shared" si="104"/>
        <v>1460.3512319508661</v>
      </c>
      <c r="DI19" s="1">
        <f t="shared" si="104"/>
        <v>1445.7477196313575</v>
      </c>
      <c r="DJ19" s="1">
        <f t="shared" si="104"/>
        <v>1431.2902424350439</v>
      </c>
      <c r="DK19" s="1">
        <f t="shared" si="104"/>
        <v>1416.9773400106935</v>
      </c>
      <c r="DL19" s="1">
        <f t="shared" si="104"/>
        <v>1402.8075666105865</v>
      </c>
      <c r="DM19" s="1">
        <f t="shared" si="104"/>
        <v>1388.7794909444806</v>
      </c>
      <c r="DN19" s="1">
        <f t="shared" si="104"/>
        <v>1374.8916960350357</v>
      </c>
      <c r="DO19" s="1">
        <f t="shared" si="104"/>
        <v>1361.1427790746852</v>
      </c>
      <c r="DP19" s="1">
        <f t="shared" si="104"/>
        <v>1347.5313512839384</v>
      </c>
      <c r="DQ19" s="1">
        <f t="shared" si="104"/>
        <v>1334.056037771099</v>
      </c>
      <c r="DR19" s="1">
        <f t="shared" si="104"/>
        <v>1320.715477393388</v>
      </c>
      <c r="DS19" s="1">
        <f t="shared" si="104"/>
        <v>1307.5083226194542</v>
      </c>
      <c r="DT19" s="1">
        <f t="shared" ref="DT19:FO19" si="105">DS19*(1+$BI$26)</f>
        <v>1294.4332393932598</v>
      </c>
      <c r="DU19" s="1">
        <f t="shared" si="105"/>
        <v>1281.4889069993271</v>
      </c>
      <c r="DV19" s="1">
        <f t="shared" si="105"/>
        <v>1268.6740179293338</v>
      </c>
      <c r="DW19" s="1">
        <f t="shared" si="105"/>
        <v>1255.9872777500404</v>
      </c>
      <c r="DX19" s="1">
        <f t="shared" si="105"/>
        <v>1243.42740497254</v>
      </c>
      <c r="DY19" s="1">
        <f t="shared" si="105"/>
        <v>1230.9931309228145</v>
      </c>
      <c r="DZ19" s="1">
        <f t="shared" si="105"/>
        <v>1218.6831996135863</v>
      </c>
      <c r="EA19" s="1">
        <f t="shared" si="105"/>
        <v>1206.4963676174505</v>
      </c>
      <c r="EB19" s="1">
        <f t="shared" si="105"/>
        <v>1194.4314039412759</v>
      </c>
      <c r="EC19" s="1">
        <f t="shared" si="105"/>
        <v>1182.4870899018631</v>
      </c>
      <c r="ED19" s="1">
        <f t="shared" si="105"/>
        <v>1170.6622190028445</v>
      </c>
      <c r="EE19" s="1">
        <f t="shared" si="105"/>
        <v>1158.9555968128161</v>
      </c>
      <c r="EF19" s="1">
        <f t="shared" si="105"/>
        <v>1147.3660408446879</v>
      </c>
      <c r="EG19" s="1">
        <f t="shared" si="105"/>
        <v>1135.892380436241</v>
      </c>
      <c r="EH19" s="1">
        <f t="shared" si="105"/>
        <v>1124.5334566318786</v>
      </c>
      <c r="EI19" s="1">
        <f t="shared" si="105"/>
        <v>1113.2881220655597</v>
      </c>
      <c r="EJ19" s="1">
        <f t="shared" si="105"/>
        <v>1102.155240844904</v>
      </c>
      <c r="EK19" s="1">
        <f t="shared" si="105"/>
        <v>1091.133688436455</v>
      </c>
      <c r="EL19" s="1">
        <f t="shared" si="105"/>
        <v>1080.2223515520905</v>
      </c>
      <c r="EM19" s="1">
        <f t="shared" si="105"/>
        <v>1069.4201280365696</v>
      </c>
      <c r="EN19" s="1">
        <f t="shared" si="105"/>
        <v>1058.725926756204</v>
      </c>
      <c r="EO19" s="1">
        <f t="shared" si="105"/>
        <v>1048.1386674886419</v>
      </c>
      <c r="EP19" s="1">
        <f t="shared" si="105"/>
        <v>1037.6572808137555</v>
      </c>
      <c r="EQ19" s="1">
        <f t="shared" si="105"/>
        <v>1027.280708005618</v>
      </c>
      <c r="ER19" s="1">
        <f t="shared" si="105"/>
        <v>1017.0079009255618</v>
      </c>
      <c r="ES19" s="1">
        <f t="shared" si="105"/>
        <v>1006.8378219163062</v>
      </c>
      <c r="ET19" s="1">
        <f t="shared" si="105"/>
        <v>996.76944369714317</v>
      </c>
      <c r="EU19" s="1">
        <f t="shared" si="105"/>
        <v>986.80174926017173</v>
      </c>
      <c r="EV19" s="1">
        <f t="shared" si="105"/>
        <v>976.93373176756995</v>
      </c>
      <c r="EW19" s="1">
        <f t="shared" si="105"/>
        <v>967.16439444989419</v>
      </c>
      <c r="EX19" s="1">
        <f t="shared" si="105"/>
        <v>957.49275050539529</v>
      </c>
      <c r="EY19" s="1">
        <f t="shared" si="105"/>
        <v>947.91782300034129</v>
      </c>
      <c r="EZ19" s="1">
        <f t="shared" si="105"/>
        <v>938.43864477033787</v>
      </c>
      <c r="FA19" s="1">
        <f t="shared" si="105"/>
        <v>929.0542583226345</v>
      </c>
      <c r="FB19" s="1">
        <f t="shared" si="105"/>
        <v>919.7637157394081</v>
      </c>
      <c r="FC19" s="1">
        <f t="shared" si="105"/>
        <v>910.56607858201403</v>
      </c>
      <c r="FD19" s="1">
        <f t="shared" si="105"/>
        <v>901.46041779619384</v>
      </c>
      <c r="FE19" s="1">
        <f t="shared" si="105"/>
        <v>892.44581361823191</v>
      </c>
      <c r="FF19" s="1">
        <f t="shared" si="105"/>
        <v>883.52135548204956</v>
      </c>
      <c r="FG19" s="1">
        <f t="shared" si="105"/>
        <v>874.68614192722907</v>
      </c>
      <c r="FH19" s="1">
        <f t="shared" si="105"/>
        <v>865.93928050795682</v>
      </c>
      <c r="FI19" s="1">
        <f t="shared" si="105"/>
        <v>857.2798877028772</v>
      </c>
      <c r="FJ19" s="1">
        <f t="shared" si="105"/>
        <v>848.70708882584847</v>
      </c>
      <c r="FK19" s="1">
        <f t="shared" si="105"/>
        <v>840.22001793759</v>
      </c>
      <c r="FL19" s="1">
        <f t="shared" si="105"/>
        <v>831.81781775821412</v>
      </c>
      <c r="FM19" s="1">
        <f t="shared" si="105"/>
        <v>823.49963958063199</v>
      </c>
      <c r="FN19" s="1">
        <f t="shared" si="105"/>
        <v>815.26464318482567</v>
      </c>
      <c r="FO19" s="1">
        <f t="shared" si="105"/>
        <v>807.11199675297746</v>
      </c>
    </row>
    <row r="20" spans="2:171" x14ac:dyDescent="0.3">
      <c r="B20" t="s">
        <v>2</v>
      </c>
      <c r="C20" s="5">
        <v>147.30000000000001</v>
      </c>
      <c r="D20" s="5">
        <v>147.30000000000001</v>
      </c>
      <c r="E20" s="5">
        <v>147.30000000000001</v>
      </c>
      <c r="F20" s="5">
        <v>147.30000000000001</v>
      </c>
      <c r="G20" s="5">
        <v>147.30000000000001</v>
      </c>
      <c r="H20" s="5">
        <v>147.30000000000001</v>
      </c>
      <c r="I20" s="5">
        <v>147.30000000000001</v>
      </c>
      <c r="J20" s="5">
        <v>147.30000000000001</v>
      </c>
      <c r="K20" s="5">
        <v>147.30000000000001</v>
      </c>
      <c r="L20" s="5">
        <v>147.30000000000001</v>
      </c>
      <c r="M20" s="5">
        <v>147.30000000000001</v>
      </c>
      <c r="N20" s="5">
        <v>182.1</v>
      </c>
      <c r="O20" s="5">
        <v>489</v>
      </c>
      <c r="P20" s="5">
        <v>489</v>
      </c>
      <c r="Q20" s="5">
        <v>489</v>
      </c>
      <c r="R20" s="5">
        <v>489</v>
      </c>
      <c r="S20" s="5">
        <v>489</v>
      </c>
      <c r="T20" s="5">
        <v>489</v>
      </c>
      <c r="U20" s="5">
        <v>489</v>
      </c>
      <c r="V20" s="5">
        <v>489</v>
      </c>
      <c r="W20" s="5">
        <v>489</v>
      </c>
      <c r="X20" s="5">
        <v>489</v>
      </c>
      <c r="Y20" s="5">
        <v>489</v>
      </c>
      <c r="Z20" s="5">
        <v>489</v>
      </c>
      <c r="AA20" s="5">
        <v>489</v>
      </c>
      <c r="AB20" s="5">
        <v>489</v>
      </c>
      <c r="AC20" s="5">
        <f>607.5+48.7</f>
        <v>656.2</v>
      </c>
      <c r="AD20" s="5">
        <f>619+48.3</f>
        <v>667.3</v>
      </c>
      <c r="AE20" s="5">
        <f>630+48.3</f>
        <v>678.3</v>
      </c>
      <c r="AF20" s="5">
        <f>645</f>
        <v>645</v>
      </c>
      <c r="AG20" s="5">
        <f>654.9+47.1</f>
        <v>702</v>
      </c>
      <c r="AH20" s="5">
        <v>704.8</v>
      </c>
      <c r="AI20" s="5"/>
      <c r="AJ20" s="5"/>
      <c r="AK20" s="5"/>
      <c r="AL20" s="5"/>
      <c r="AO20" s="5">
        <v>147.30000000000001</v>
      </c>
      <c r="AP20" s="5">
        <v>163.1</v>
      </c>
      <c r="AQ20" s="5">
        <v>177.8</v>
      </c>
      <c r="AR20" s="5">
        <v>198.9</v>
      </c>
      <c r="AS20" s="5">
        <v>489</v>
      </c>
      <c r="AT20" s="5">
        <v>489</v>
      </c>
      <c r="AU20" s="5">
        <f t="shared" ref="AU20" si="106">619+48.3</f>
        <v>667.3</v>
      </c>
      <c r="AV20" s="5">
        <v>704.8</v>
      </c>
      <c r="AW20" s="5">
        <v>704.8</v>
      </c>
      <c r="AX20" s="5">
        <v>704.8</v>
      </c>
      <c r="AY20" s="5">
        <v>704.8</v>
      </c>
      <c r="AZ20" s="5">
        <v>704.8</v>
      </c>
      <c r="BA20" s="5">
        <v>704.8</v>
      </c>
      <c r="BB20" s="5">
        <v>704.8</v>
      </c>
      <c r="BC20" s="5">
        <v>704.8</v>
      </c>
      <c r="BD20" s="5">
        <v>704.8</v>
      </c>
      <c r="BE20" s="5">
        <v>704.8</v>
      </c>
      <c r="BF20" s="5">
        <v>704.8</v>
      </c>
    </row>
    <row r="21" spans="2:171" s="1" customFormat="1" x14ac:dyDescent="0.3">
      <c r="B21" s="1" t="s">
        <v>32</v>
      </c>
      <c r="C21" s="8">
        <f t="shared" ref="C21:N21" si="107">C19/C20</f>
        <v>-9.7759674134419577E-2</v>
      </c>
      <c r="D21" s="8">
        <f t="shared" si="107"/>
        <v>-0.16021724372029861</v>
      </c>
      <c r="E21" s="8">
        <f t="shared" si="107"/>
        <v>-0.26883910386965382</v>
      </c>
      <c r="F21" s="8">
        <f t="shared" si="107"/>
        <v>-7.1961982348947739E-2</v>
      </c>
      <c r="G21" s="8">
        <f t="shared" si="107"/>
        <v>-6.0420909708078736E-2</v>
      </c>
      <c r="H21" s="8">
        <f t="shared" si="107"/>
        <v>-8.2824168363883205E-2</v>
      </c>
      <c r="I21" s="8">
        <f t="shared" si="107"/>
        <v>-0.11812627291242363</v>
      </c>
      <c r="J21" s="8">
        <f t="shared" si="107"/>
        <v>-0.22131704005431097</v>
      </c>
      <c r="K21" s="8">
        <f t="shared" si="107"/>
        <v>-0.50509164969450115</v>
      </c>
      <c r="L21" s="8">
        <f t="shared" si="107"/>
        <v>-0.50441276306856764</v>
      </c>
      <c r="M21" s="8">
        <f t="shared" si="107"/>
        <v>-0.33061778682959958</v>
      </c>
      <c r="N21" s="8">
        <f t="shared" si="107"/>
        <v>-0.30587589236683138</v>
      </c>
      <c r="O21" s="8">
        <f t="shared" ref="O21:Q21" si="108">O19/O20</f>
        <v>-0.27423312883435574</v>
      </c>
      <c r="P21" s="8">
        <f t="shared" si="108"/>
        <v>-0.28650306748466259</v>
      </c>
      <c r="Q21" s="8">
        <f t="shared" si="108"/>
        <v>-0.15153374233128822</v>
      </c>
      <c r="R21" s="8">
        <f t="shared" ref="R21:S21" si="109">R19/R20</f>
        <v>-0.29325153374233137</v>
      </c>
      <c r="S21" s="8">
        <f t="shared" si="109"/>
        <v>-0.32801635991820055</v>
      </c>
      <c r="T21" s="8">
        <f t="shared" ref="T21" si="110">T19/T20</f>
        <v>-0.36094069529652328</v>
      </c>
      <c r="U21" s="8">
        <f t="shared" ref="U21:V21" si="111">U19/U20</f>
        <v>-0.60920245398772987</v>
      </c>
      <c r="V21" s="8">
        <f t="shared" si="111"/>
        <v>-0.59263803680981586</v>
      </c>
      <c r="W21" s="8">
        <f t="shared" ref="W21" si="112">W19/W20</f>
        <v>-0.54846625766871171</v>
      </c>
      <c r="X21" s="8">
        <f t="shared" ref="X21" si="113">X19/X20</f>
        <v>-0.57770961145194277</v>
      </c>
      <c r="Y21" s="8">
        <f t="shared" ref="Y21:Z21" si="114">Y19/Y20</f>
        <v>-0.5670756646216768</v>
      </c>
      <c r="Z21" s="8">
        <f t="shared" si="114"/>
        <v>-0.66237218813905929</v>
      </c>
      <c r="AA21" s="8">
        <f t="shared" ref="AA21" si="115">AA19/AA20</f>
        <v>-0.5533742331288346</v>
      </c>
      <c r="AB21" s="8">
        <f t="shared" ref="AB21" si="116">AB19/AB20</f>
        <v>-0.42126789366053158</v>
      </c>
      <c r="AC21" s="8">
        <f t="shared" ref="AC21:AD21" si="117">AC19/AC20</f>
        <v>-0.36452301127704961</v>
      </c>
      <c r="AD21" s="8">
        <f t="shared" si="117"/>
        <v>-0.32863779409560917</v>
      </c>
      <c r="AE21" s="8">
        <f t="shared" ref="AE21:AH21" si="118">AE19/AE20</f>
        <v>-0.31711632021229536</v>
      </c>
      <c r="AF21" s="8">
        <f t="shared" si="118"/>
        <v>-0.43178294573643411</v>
      </c>
      <c r="AG21" s="8">
        <f t="shared" si="118"/>
        <v>-0.3643874643874645</v>
      </c>
      <c r="AH21" s="8">
        <f t="shared" si="118"/>
        <v>-0.44835414301929627</v>
      </c>
      <c r="AI21" s="8"/>
      <c r="AJ21" s="8"/>
      <c r="AK21" s="8"/>
      <c r="AL21" s="8"/>
      <c r="AO21" s="8">
        <f>AO19/AO20</f>
        <v>-0.5987780040733196</v>
      </c>
      <c r="AP21" s="8">
        <f>AP19/AP20</f>
        <v>-0.4359288779889639</v>
      </c>
      <c r="AQ21" s="8">
        <f>AQ19/AQ20</f>
        <v>-1.4235095613048365</v>
      </c>
      <c r="AR21" s="8">
        <f t="shared" ref="AR21:BA21" si="119">AR19/AR20</f>
        <v>-2.4720965309200595</v>
      </c>
      <c r="AS21" s="8">
        <f t="shared" si="119"/>
        <v>-1.8907975460122703</v>
      </c>
      <c r="AT21" s="8">
        <f t="shared" si="119"/>
        <v>-2.3556237218813898</v>
      </c>
      <c r="AU21" s="8">
        <f t="shared" si="119"/>
        <v>-1.4013187471901696</v>
      </c>
      <c r="AV21" s="8">
        <f t="shared" si="119"/>
        <v>-1.5116345062429064</v>
      </c>
      <c r="AW21" s="8">
        <f t="shared" si="119"/>
        <v>-0.57360512911464234</v>
      </c>
      <c r="AX21" s="8">
        <f t="shared" si="119"/>
        <v>0.10930208215096486</v>
      </c>
      <c r="AY21" s="8">
        <f t="shared" si="119"/>
        <v>0.71739050948070193</v>
      </c>
      <c r="AZ21" s="8">
        <f t="shared" si="119"/>
        <v>1.2742345760738658</v>
      </c>
      <c r="BA21" s="8">
        <f t="shared" si="119"/>
        <v>1.7561728615068057</v>
      </c>
      <c r="BB21" s="8">
        <f t="shared" ref="BB21:BF21" si="120">BB19/BB20</f>
        <v>2.1697574558190165</v>
      </c>
      <c r="BC21" s="8">
        <f t="shared" si="120"/>
        <v>2.5432677489217146</v>
      </c>
      <c r="BD21" s="8">
        <f t="shared" si="120"/>
        <v>2.8652499418845863</v>
      </c>
      <c r="BE21" s="8">
        <f t="shared" si="120"/>
        <v>3.2055974714895714</v>
      </c>
      <c r="BF21" s="8">
        <f t="shared" si="120"/>
        <v>3.5652576276174921</v>
      </c>
    </row>
    <row r="23" spans="2:171" x14ac:dyDescent="0.3">
      <c r="B23" s="1" t="s">
        <v>35</v>
      </c>
      <c r="C23" s="7"/>
      <c r="D23" s="7"/>
      <c r="E23" s="7"/>
      <c r="F23" s="7"/>
      <c r="G23" s="7">
        <f t="shared" ref="G23:R23" si="121">G3/C3-1</f>
        <v>0.74290220820189279</v>
      </c>
      <c r="H23" s="7">
        <f t="shared" si="121"/>
        <v>0.58090185676392569</v>
      </c>
      <c r="I23" s="7">
        <f t="shared" si="121"/>
        <v>0.51385681293302543</v>
      </c>
      <c r="J23" s="7">
        <f t="shared" si="121"/>
        <v>0.48192771084337349</v>
      </c>
      <c r="K23" s="7">
        <f t="shared" si="121"/>
        <v>0.46244343891402706</v>
      </c>
      <c r="L23" s="7">
        <f t="shared" si="121"/>
        <v>0.68120805369127524</v>
      </c>
      <c r="M23" s="7">
        <f t="shared" si="121"/>
        <v>0.92143401983218931</v>
      </c>
      <c r="N23" s="7">
        <f t="shared" si="121"/>
        <v>1.1002710027100271</v>
      </c>
      <c r="O23" s="7">
        <f t="shared" si="121"/>
        <v>1.3948019801980198</v>
      </c>
      <c r="P23" s="7">
        <f t="shared" si="121"/>
        <v>1.2659680638722555</v>
      </c>
      <c r="Q23" s="7">
        <f t="shared" si="121"/>
        <v>1.0218340611353711</v>
      </c>
      <c r="R23" s="7">
        <f t="shared" si="121"/>
        <v>0.83483870967741924</v>
      </c>
      <c r="S23" s="7">
        <f t="shared" ref="S23:AD23" si="122">S3/O3-1</f>
        <v>0.38785529715762279</v>
      </c>
      <c r="T23" s="7">
        <f t="shared" si="122"/>
        <v>0.30191587756000882</v>
      </c>
      <c r="U23" s="7">
        <f t="shared" si="122"/>
        <v>1.6493225996465855E-2</v>
      </c>
      <c r="V23" s="7">
        <f t="shared" si="122"/>
        <v>1.7932489451476963E-2</v>
      </c>
      <c r="W23" s="7">
        <f t="shared" si="122"/>
        <v>0.22007075032582368</v>
      </c>
      <c r="X23" s="7">
        <f t="shared" si="122"/>
        <v>0.15155615696887659</v>
      </c>
      <c r="Y23" s="7">
        <f t="shared" si="122"/>
        <v>0.37763183310797754</v>
      </c>
      <c r="Z23" s="7">
        <f t="shared" si="122"/>
        <v>0.29516407599309158</v>
      </c>
      <c r="AA23" s="7">
        <f t="shared" si="122"/>
        <v>0.22279871814436136</v>
      </c>
      <c r="AB23" s="7">
        <f t="shared" si="122"/>
        <v>0.31242655699177457</v>
      </c>
      <c r="AC23" s="7">
        <f t="shared" si="122"/>
        <v>0.28855860908581032</v>
      </c>
      <c r="AD23" s="7">
        <f t="shared" si="122"/>
        <v>0.3177757034271238</v>
      </c>
      <c r="AE23" s="7">
        <f t="shared" ref="AE23" si="123">AE3/AA3-1</f>
        <v>0.29190066142518423</v>
      </c>
      <c r="AF23" s="7">
        <f t="shared" ref="AF23" si="124">AF3/AB3-1</f>
        <v>0.20951315053161723</v>
      </c>
      <c r="AG23" s="7">
        <f t="shared" ref="AG23" si="125">AG3/AC3-1</f>
        <v>0.47943416757344925</v>
      </c>
      <c r="AH23" s="7">
        <f t="shared" ref="AH23" si="126">AH3/AD3-1</f>
        <v>0.43189637725156849</v>
      </c>
      <c r="AI23" s="7"/>
      <c r="AJ23" s="7"/>
      <c r="AK23" s="7"/>
      <c r="AL23" s="7"/>
      <c r="AP23" s="7">
        <f t="shared" ref="AP23:BB23" si="127">AP3/AO3-1</f>
        <v>0.56430769230769218</v>
      </c>
      <c r="AQ23" s="7">
        <f t="shared" si="127"/>
        <v>0.81726986624704967</v>
      </c>
      <c r="AR23" s="7">
        <f t="shared" si="127"/>
        <v>1.0772810910271677</v>
      </c>
      <c r="AS23" s="7">
        <f t="shared" si="127"/>
        <v>0.15933722384326798</v>
      </c>
      <c r="AT23" s="7">
        <f t="shared" si="127"/>
        <v>0.25806741573033709</v>
      </c>
      <c r="AU23" s="7">
        <f t="shared" si="127"/>
        <v>0.28679622749356937</v>
      </c>
      <c r="AV23" s="7">
        <f t="shared" si="127"/>
        <v>0.35771793448084388</v>
      </c>
      <c r="AW23" s="7">
        <f t="shared" si="127"/>
        <v>0.30000000000000004</v>
      </c>
      <c r="AX23" s="7">
        <f t="shared" si="127"/>
        <v>0.19999999999999996</v>
      </c>
      <c r="AY23" s="7">
        <f t="shared" si="127"/>
        <v>0.14999999999999991</v>
      </c>
      <c r="AZ23" s="7">
        <f t="shared" si="127"/>
        <v>0.12000000000000011</v>
      </c>
      <c r="BA23" s="7">
        <f t="shared" si="127"/>
        <v>9.000000000000008E-2</v>
      </c>
      <c r="BB23" s="7">
        <f t="shared" si="127"/>
        <v>7.0000000000000062E-2</v>
      </c>
      <c r="BC23" s="7">
        <f t="shared" ref="BC23:BF23" si="128">BC3/BB3-1</f>
        <v>6.0000000000000053E-2</v>
      </c>
      <c r="BD23" s="7">
        <f t="shared" si="128"/>
        <v>5.0000000000000044E-2</v>
      </c>
      <c r="BE23" s="7">
        <f t="shared" si="128"/>
        <v>5.0000000000000044E-2</v>
      </c>
      <c r="BF23" s="7">
        <f t="shared" si="128"/>
        <v>5.0000000000000044E-2</v>
      </c>
    </row>
    <row r="24" spans="2:171" x14ac:dyDescent="0.3">
      <c r="B24" t="s">
        <v>73</v>
      </c>
      <c r="C24" s="7">
        <f>(C3-C4)/C3</f>
        <v>0.78233438485804407</v>
      </c>
      <c r="D24" s="7">
        <f t="shared" ref="D24:AH24" si="129">(D3-D4)/D3</f>
        <v>0.77851458885941638</v>
      </c>
      <c r="E24" s="7">
        <f t="shared" si="129"/>
        <v>0.77367205542725181</v>
      </c>
      <c r="F24" s="7">
        <f t="shared" si="129"/>
        <v>0.77008032128514048</v>
      </c>
      <c r="G24" s="7">
        <f t="shared" si="129"/>
        <v>0.76561085972850673</v>
      </c>
      <c r="H24" s="7">
        <f t="shared" si="129"/>
        <v>0.76761744966442946</v>
      </c>
      <c r="I24" s="7">
        <f t="shared" si="129"/>
        <v>0.7589626239511823</v>
      </c>
      <c r="J24" s="7">
        <f t="shared" si="129"/>
        <v>0.74796747967479671</v>
      </c>
      <c r="K24" s="7">
        <f t="shared" si="129"/>
        <v>0.74133663366336633</v>
      </c>
      <c r="L24" s="7">
        <f t="shared" si="129"/>
        <v>0.73203592814371254</v>
      </c>
      <c r="M24" s="7">
        <f t="shared" si="129"/>
        <v>0.73878523223501402</v>
      </c>
      <c r="N24" s="7">
        <f t="shared" si="129"/>
        <v>0.7464516129032257</v>
      </c>
      <c r="O24" s="7">
        <f t="shared" si="129"/>
        <v>0.74702842377260992</v>
      </c>
      <c r="P24" s="7">
        <f t="shared" si="129"/>
        <v>0.74256771636203489</v>
      </c>
      <c r="Q24" s="7">
        <f t="shared" si="129"/>
        <v>0.74474769291183973</v>
      </c>
      <c r="R24" s="7">
        <f t="shared" si="129"/>
        <v>0.73277074542897325</v>
      </c>
      <c r="S24" s="7">
        <f t="shared" si="129"/>
        <v>0.74753304784956243</v>
      </c>
      <c r="T24" s="7">
        <f t="shared" si="129"/>
        <v>0.75778078484438438</v>
      </c>
      <c r="U24" s="7">
        <f t="shared" si="129"/>
        <v>0.75584315240486777</v>
      </c>
      <c r="V24" s="7">
        <f t="shared" si="129"/>
        <v>0.75405872193436962</v>
      </c>
      <c r="W24" s="7">
        <f t="shared" si="129"/>
        <v>0.76835037387456129</v>
      </c>
      <c r="X24" s="7">
        <f t="shared" si="129"/>
        <v>0.76204465334900118</v>
      </c>
      <c r="Y24" s="7">
        <f t="shared" si="129"/>
        <v>0.77061132922041498</v>
      </c>
      <c r="Z24" s="7">
        <f t="shared" si="129"/>
        <v>0.77103613815175365</v>
      </c>
      <c r="AA24" s="7">
        <f t="shared" si="129"/>
        <v>0.77673780107325596</v>
      </c>
      <c r="AB24" s="7">
        <f t="shared" si="129"/>
        <v>0.77772803581421379</v>
      </c>
      <c r="AC24" s="7">
        <f t="shared" si="129"/>
        <v>0.77693144722524488</v>
      </c>
      <c r="AD24" s="7">
        <f t="shared" si="129"/>
        <v>0.77868852459016391</v>
      </c>
      <c r="AE24" s="7">
        <f t="shared" si="129"/>
        <v>0.78294049459041726</v>
      </c>
      <c r="AF24" s="7">
        <f t="shared" si="129"/>
        <v>0.78153048949754789</v>
      </c>
      <c r="AG24" s="7">
        <f t="shared" si="129"/>
        <v>0.78192115328037659</v>
      </c>
      <c r="AH24" s="7">
        <f t="shared" si="129"/>
        <v>0.77738515901060068</v>
      </c>
      <c r="AI24" s="7"/>
      <c r="AJ24" s="7"/>
      <c r="AK24" s="7"/>
      <c r="AL24" s="7"/>
      <c r="AO24" s="7">
        <f t="shared" ref="AO24:BF24" si="130">(AO3-AO4)/AO3</f>
        <v>0.77538461538461534</v>
      </c>
      <c r="AP24" s="7">
        <f t="shared" si="130"/>
        <v>0.75924468922108579</v>
      </c>
      <c r="AQ24" s="7">
        <f t="shared" si="130"/>
        <v>0.74033986362160409</v>
      </c>
      <c r="AR24" s="7">
        <f t="shared" si="130"/>
        <v>0.74114214255939981</v>
      </c>
      <c r="AS24" s="7">
        <f t="shared" si="130"/>
        <v>0.75388764044943823</v>
      </c>
      <c r="AT24" s="7">
        <f t="shared" si="130"/>
        <v>0.76811231780508726</v>
      </c>
      <c r="AU24" s="7">
        <f t="shared" si="130"/>
        <v>0.77756801776790674</v>
      </c>
      <c r="AV24" s="7">
        <f t="shared" si="130"/>
        <v>0.78073816583171451</v>
      </c>
      <c r="AW24" s="7">
        <f t="shared" si="130"/>
        <v>0.78</v>
      </c>
      <c r="AX24" s="7">
        <f t="shared" si="130"/>
        <v>0.78</v>
      </c>
      <c r="AY24" s="7">
        <f t="shared" si="130"/>
        <v>0.78</v>
      </c>
      <c r="AZ24" s="7">
        <f t="shared" si="130"/>
        <v>0.78</v>
      </c>
      <c r="BA24" s="7">
        <f t="shared" si="130"/>
        <v>0.78</v>
      </c>
      <c r="BB24" s="7">
        <f t="shared" si="130"/>
        <v>0.78</v>
      </c>
      <c r="BC24" s="7">
        <f t="shared" si="130"/>
        <v>0.78</v>
      </c>
      <c r="BD24" s="7">
        <f t="shared" si="130"/>
        <v>0.77999999999999992</v>
      </c>
      <c r="BE24" s="7">
        <f t="shared" si="130"/>
        <v>0.78</v>
      </c>
      <c r="BF24" s="7">
        <f t="shared" si="130"/>
        <v>0.78</v>
      </c>
    </row>
    <row r="25" spans="2:171" x14ac:dyDescent="0.3">
      <c r="B25" t="s">
        <v>39</v>
      </c>
      <c r="C25" s="7">
        <f>(C3-C5)/C3</f>
        <v>0.74290220820189268</v>
      </c>
      <c r="D25" s="7">
        <f t="shared" ref="D25:AH25" si="131">(D3-D5)/D3</f>
        <v>0.78116710875331563</v>
      </c>
      <c r="E25" s="7">
        <f t="shared" si="131"/>
        <v>0.79214780600461887</v>
      </c>
      <c r="F25" s="7">
        <f t="shared" si="131"/>
        <v>0.7881526104417671</v>
      </c>
      <c r="G25" s="7">
        <f t="shared" si="131"/>
        <v>0.79457013574660629</v>
      </c>
      <c r="H25" s="7">
        <f t="shared" si="131"/>
        <v>0.80453020134228193</v>
      </c>
      <c r="I25" s="7">
        <f t="shared" si="131"/>
        <v>0.8001525553012967</v>
      </c>
      <c r="J25" s="7">
        <f t="shared" si="131"/>
        <v>0.73035230352303526</v>
      </c>
      <c r="K25" s="7">
        <f t="shared" si="131"/>
        <v>0.72462871287128716</v>
      </c>
      <c r="L25" s="7">
        <f t="shared" si="131"/>
        <v>0.57534930139720564</v>
      </c>
      <c r="M25" s="7">
        <f t="shared" si="131"/>
        <v>0.66057959507741171</v>
      </c>
      <c r="N25" s="7">
        <f t="shared" si="131"/>
        <v>0.63354838709677419</v>
      </c>
      <c r="O25" s="7">
        <f t="shared" si="131"/>
        <v>0.69276485788113706</v>
      </c>
      <c r="P25" s="7">
        <f t="shared" si="131"/>
        <v>0.71438009249064083</v>
      </c>
      <c r="Q25" s="7">
        <f t="shared" si="131"/>
        <v>0.74474769291183973</v>
      </c>
      <c r="R25" s="7">
        <f t="shared" si="131"/>
        <v>0.71923347398030946</v>
      </c>
      <c r="S25" s="7">
        <f t="shared" si="131"/>
        <v>0.72612176503444426</v>
      </c>
      <c r="T25" s="7">
        <f t="shared" si="131"/>
        <v>0.75794993234100139</v>
      </c>
      <c r="U25" s="7">
        <f t="shared" si="131"/>
        <v>0.7073594745991888</v>
      </c>
      <c r="V25" s="7">
        <f t="shared" si="131"/>
        <v>0.68549222797927456</v>
      </c>
      <c r="W25" s="7">
        <f t="shared" si="131"/>
        <v>0.721654204181291</v>
      </c>
      <c r="X25" s="7">
        <f t="shared" si="131"/>
        <v>0.75646298472385431</v>
      </c>
      <c r="Y25" s="7">
        <f t="shared" si="131"/>
        <v>0.76065619742007851</v>
      </c>
      <c r="Z25" s="7">
        <f t="shared" si="131"/>
        <v>0.70422723029737289</v>
      </c>
      <c r="AA25" s="7">
        <f t="shared" si="131"/>
        <v>0.74741045800574069</v>
      </c>
      <c r="AB25" s="7">
        <f t="shared" si="131"/>
        <v>0.76687185226636823</v>
      </c>
      <c r="AC25" s="7">
        <f t="shared" si="131"/>
        <v>0.74809575625680091</v>
      </c>
      <c r="AD25" s="7">
        <f t="shared" si="131"/>
        <v>0.71604938271604934</v>
      </c>
      <c r="AE25" s="7">
        <f t="shared" si="131"/>
        <v>0.72797527047913446</v>
      </c>
      <c r="AF25" s="7">
        <f t="shared" si="131"/>
        <v>0.70722679744609973</v>
      </c>
      <c r="AG25" s="7">
        <f t="shared" si="131"/>
        <v>0.68527508090614886</v>
      </c>
      <c r="AH25" s="7">
        <f t="shared" si="131"/>
        <v>0.66275618374558298</v>
      </c>
      <c r="AI25" s="7"/>
      <c r="AJ25" s="7"/>
      <c r="AK25" s="7"/>
      <c r="AL25" s="7"/>
      <c r="AO25" s="7">
        <f t="shared" ref="AO25:BF25" si="132">(AO3-AO5)/AO3</f>
        <v>0.77876923076923077</v>
      </c>
      <c r="AP25" s="7">
        <f t="shared" si="132"/>
        <v>0.77970102281667975</v>
      </c>
      <c r="AQ25" s="7">
        <f t="shared" si="132"/>
        <v>0.64422556553739585</v>
      </c>
      <c r="AR25" s="7">
        <f t="shared" si="132"/>
        <v>0.71951854939558157</v>
      </c>
      <c r="AS25" s="7">
        <f t="shared" si="132"/>
        <v>0.71964044943820227</v>
      </c>
      <c r="AT25" s="7">
        <f t="shared" si="132"/>
        <v>0.73538868248070866</v>
      </c>
      <c r="AU25" s="7">
        <f t="shared" si="132"/>
        <v>0.7438089950027762</v>
      </c>
      <c r="AV25" s="7">
        <f t="shared" si="132"/>
        <v>0.69264901339331353</v>
      </c>
      <c r="AW25" s="7">
        <f t="shared" si="132"/>
        <v>0.71999999999999986</v>
      </c>
      <c r="AX25" s="7">
        <f t="shared" si="132"/>
        <v>0.71999999999999986</v>
      </c>
      <c r="AY25" s="7">
        <f t="shared" si="132"/>
        <v>0.71999999999999986</v>
      </c>
      <c r="AZ25" s="7">
        <f t="shared" si="132"/>
        <v>0.72</v>
      </c>
      <c r="BA25" s="7">
        <f t="shared" si="132"/>
        <v>0.72</v>
      </c>
      <c r="BB25" s="7">
        <f t="shared" si="132"/>
        <v>0.72</v>
      </c>
      <c r="BC25" s="7">
        <f t="shared" si="132"/>
        <v>0.72000000000000008</v>
      </c>
      <c r="BD25" s="7">
        <f t="shared" si="132"/>
        <v>0.72</v>
      </c>
      <c r="BE25" s="7">
        <f t="shared" si="132"/>
        <v>0.72</v>
      </c>
      <c r="BF25" s="7">
        <f t="shared" si="132"/>
        <v>0.71999999999999986</v>
      </c>
    </row>
    <row r="26" spans="2:171" x14ac:dyDescent="0.3">
      <c r="B26" t="s">
        <v>53</v>
      </c>
      <c r="C26" s="7"/>
      <c r="D26" s="7"/>
      <c r="E26" s="7"/>
      <c r="F26" s="7"/>
      <c r="G26" s="7">
        <f t="shared" ref="G26:AD26" si="133">G6/C6-1</f>
        <v>0.78191489361702127</v>
      </c>
      <c r="H26" s="7">
        <f t="shared" si="133"/>
        <v>0.33812949640287782</v>
      </c>
      <c r="I26" s="7">
        <f t="shared" si="133"/>
        <v>0.40893470790377995</v>
      </c>
      <c r="J26" s="7">
        <f t="shared" si="133"/>
        <v>0.51006711409395966</v>
      </c>
      <c r="K26" s="7">
        <f t="shared" si="133"/>
        <v>0.57014925373134329</v>
      </c>
      <c r="L26" s="7">
        <f t="shared" si="133"/>
        <v>0.66397849462365577</v>
      </c>
      <c r="M26" s="7">
        <f t="shared" si="133"/>
        <v>0.74146341463414656</v>
      </c>
      <c r="N26" s="7">
        <f t="shared" si="133"/>
        <v>0.73999999999999955</v>
      </c>
      <c r="O26" s="7">
        <f t="shared" si="133"/>
        <v>0.78897338403041806</v>
      </c>
      <c r="P26" s="7">
        <f t="shared" si="133"/>
        <v>0.76090468497576746</v>
      </c>
      <c r="Q26" s="7">
        <f t="shared" si="133"/>
        <v>0.64425770308123242</v>
      </c>
      <c r="R26" s="7">
        <f t="shared" si="133"/>
        <v>0.73690932311622004</v>
      </c>
      <c r="S26" s="7">
        <f t="shared" si="133"/>
        <v>0.50265674814027639</v>
      </c>
      <c r="T26" s="7">
        <f t="shared" si="133"/>
        <v>0.45137614678899074</v>
      </c>
      <c r="U26" s="7">
        <f t="shared" si="133"/>
        <v>0.62691652470187376</v>
      </c>
      <c r="V26" s="7">
        <f t="shared" si="133"/>
        <v>0.45955882352941169</v>
      </c>
      <c r="W26" s="7">
        <f t="shared" si="133"/>
        <v>0.49222065063649212</v>
      </c>
      <c r="X26" s="7">
        <f t="shared" si="133"/>
        <v>0.42225031605562591</v>
      </c>
      <c r="Y26" s="7">
        <f t="shared" si="133"/>
        <v>0.14659685863874339</v>
      </c>
      <c r="Z26" s="7">
        <f t="shared" si="133"/>
        <v>0.12493702770780857</v>
      </c>
      <c r="AA26" s="7">
        <f t="shared" si="133"/>
        <v>7.5355450236966881E-2</v>
      </c>
      <c r="AB26" s="7">
        <f t="shared" si="133"/>
        <v>-1.7333333333333312E-2</v>
      </c>
      <c r="AC26" s="7">
        <f t="shared" si="133"/>
        <v>0.11689497716894981</v>
      </c>
      <c r="AD26" s="7">
        <f t="shared" si="133"/>
        <v>-2.2391401701746805E-3</v>
      </c>
      <c r="AE26" s="7">
        <f t="shared" ref="AE26" si="134">AE6/AA6-1</f>
        <v>6.6989863375936487E-2</v>
      </c>
      <c r="AF26" s="7">
        <f t="shared" ref="AF26" si="135">AF6/AB6-1</f>
        <v>0.17910447761194037</v>
      </c>
      <c r="AG26" s="7">
        <f t="shared" ref="AG26" si="136">AG6/AC6-1</f>
        <v>0.31398201144726068</v>
      </c>
      <c r="AH26" s="7">
        <f t="shared" ref="AH26" si="137">AH6/AD6-1</f>
        <v>0.4780071813285458</v>
      </c>
      <c r="AI26" s="7"/>
      <c r="AJ26" s="7"/>
      <c r="AK26" s="7"/>
      <c r="AL26" s="7"/>
      <c r="AO26" s="7"/>
      <c r="AP26" s="7">
        <f t="shared" ref="AP26:AU26" si="138">AP6/AO6-1</f>
        <v>0.48530805687203782</v>
      </c>
      <c r="AQ26" s="7">
        <f t="shared" si="138"/>
        <v>0.68602425015954061</v>
      </c>
      <c r="AR26" s="7">
        <f t="shared" si="138"/>
        <v>0.72785768357305081</v>
      </c>
      <c r="AS26" s="7">
        <f t="shared" si="138"/>
        <v>0.50952902519167576</v>
      </c>
      <c r="AT26" s="7">
        <f t="shared" si="138"/>
        <v>0.27456102162240592</v>
      </c>
      <c r="AU26" s="7">
        <f t="shared" si="138"/>
        <v>4.2240692246385159E-2</v>
      </c>
      <c r="AV26" s="7">
        <f t="shared" ref="AV26:BF26" si="139">AV6/AU6-1</f>
        <v>0.26010487218702205</v>
      </c>
      <c r="AW26" s="7">
        <f t="shared" si="139"/>
        <v>3.0000000000000027E-2</v>
      </c>
      <c r="AX26" s="7">
        <f t="shared" si="139"/>
        <v>2.0000000000000018E-2</v>
      </c>
      <c r="AY26" s="7">
        <f t="shared" si="139"/>
        <v>2.0000000000000018E-2</v>
      </c>
      <c r="AZ26" s="7">
        <f t="shared" si="139"/>
        <v>2.0000000000000018E-2</v>
      </c>
      <c r="BA26" s="7">
        <f t="shared" si="139"/>
        <v>2.0000000000000018E-2</v>
      </c>
      <c r="BB26" s="7">
        <f t="shared" si="139"/>
        <v>1.0000000000000009E-2</v>
      </c>
      <c r="BC26" s="7">
        <f t="shared" si="139"/>
        <v>1.0000000000000009E-2</v>
      </c>
      <c r="BD26" s="7">
        <f t="shared" si="139"/>
        <v>1.0000000000000009E-2</v>
      </c>
      <c r="BE26" s="7">
        <f t="shared" si="139"/>
        <v>1.0000000000000009E-2</v>
      </c>
      <c r="BF26" s="7">
        <f t="shared" si="139"/>
        <v>1.0000000000000009E-2</v>
      </c>
      <c r="BH26" t="s">
        <v>40</v>
      </c>
      <c r="BI26" s="7">
        <v>-0.01</v>
      </c>
    </row>
    <row r="27" spans="2:171" x14ac:dyDescent="0.3">
      <c r="B27" s="1" t="s">
        <v>36</v>
      </c>
      <c r="C27" s="7">
        <f t="shared" ref="C27:AD27" si="140">C8/C3</f>
        <v>0.22870662460567812</v>
      </c>
      <c r="D27" s="7">
        <f t="shared" si="140"/>
        <v>0.19098143236074278</v>
      </c>
      <c r="E27" s="7">
        <f t="shared" si="140"/>
        <v>0.22979214780600454</v>
      </c>
      <c r="F27" s="7">
        <f t="shared" si="140"/>
        <v>0.25903614457831325</v>
      </c>
      <c r="G27" s="7">
        <f t="shared" si="140"/>
        <v>0.25701357466063351</v>
      </c>
      <c r="H27" s="7">
        <f t="shared" si="140"/>
        <v>0.26006711409395972</v>
      </c>
      <c r="I27" s="7">
        <f t="shared" si="140"/>
        <v>0.24637681159420288</v>
      </c>
      <c r="J27" s="7">
        <f t="shared" si="140"/>
        <v>0.17344173441734415</v>
      </c>
      <c r="K27" s="7">
        <f t="shared" si="140"/>
        <v>0.1404702970297029</v>
      </c>
      <c r="L27" s="7">
        <f t="shared" si="140"/>
        <v>-1.4970059880240088E-3</v>
      </c>
      <c r="M27" s="7">
        <f t="shared" si="140"/>
        <v>0.11591901548233421</v>
      </c>
      <c r="N27" s="7">
        <f t="shared" si="140"/>
        <v>0.12741935483870967</v>
      </c>
      <c r="O27" s="7">
        <f t="shared" si="140"/>
        <v>0.19664082687338508</v>
      </c>
      <c r="P27" s="7">
        <f t="shared" si="140"/>
        <v>0.21691257432283637</v>
      </c>
      <c r="Q27" s="7">
        <f t="shared" si="140"/>
        <v>0.25898291773021803</v>
      </c>
      <c r="R27" s="7">
        <f t="shared" si="140"/>
        <v>0.21290436005625873</v>
      </c>
      <c r="S27" s="7">
        <f t="shared" si="140"/>
        <v>0.21038912679203128</v>
      </c>
      <c r="T27" s="7">
        <f t="shared" si="140"/>
        <v>0.2481393775372126</v>
      </c>
      <c r="U27" s="7">
        <f t="shared" si="140"/>
        <v>9.4263086729766396E-2</v>
      </c>
      <c r="V27" s="7">
        <f t="shared" si="140"/>
        <v>9.6718480138169263E-2</v>
      </c>
      <c r="W27" s="7">
        <f t="shared" si="140"/>
        <v>0.16801464977872718</v>
      </c>
      <c r="X27" s="7">
        <f t="shared" si="140"/>
        <v>0.18801410105757932</v>
      </c>
      <c r="Y27" s="7">
        <f t="shared" si="140"/>
        <v>0.22420078519349423</v>
      </c>
      <c r="Z27" s="7">
        <f t="shared" si="140"/>
        <v>0.17749033204427261</v>
      </c>
      <c r="AA27" s="7">
        <f t="shared" si="140"/>
        <v>0.24098340197179574</v>
      </c>
      <c r="AB27" s="7">
        <f t="shared" si="140"/>
        <v>0.29714605484051482</v>
      </c>
      <c r="AC27" s="7">
        <f t="shared" si="140"/>
        <v>0.25886833514689878</v>
      </c>
      <c r="AD27" s="7">
        <f t="shared" si="140"/>
        <v>0.26927747419550702</v>
      </c>
      <c r="AE27" s="7">
        <f t="shared" ref="AE27:AH27" si="141">AE8/AE3</f>
        <v>0.27704791344667701</v>
      </c>
      <c r="AF27" s="7">
        <f t="shared" si="141"/>
        <v>0.24752475247524752</v>
      </c>
      <c r="AG27" s="7">
        <f t="shared" si="141"/>
        <v>0.23080317740511913</v>
      </c>
      <c r="AH27" s="7">
        <f t="shared" si="141"/>
        <v>0.20742049469964666</v>
      </c>
      <c r="AI27" s="7"/>
      <c r="AJ27" s="7"/>
      <c r="AK27" s="7"/>
      <c r="AL27" s="7"/>
      <c r="AO27" s="7">
        <f t="shared" ref="AO27:BB27" si="142">AO8/AO3</f>
        <v>0.22953846153846152</v>
      </c>
      <c r="AP27" s="7">
        <f t="shared" si="142"/>
        <v>0.23072383949645953</v>
      </c>
      <c r="AQ27" s="7">
        <f t="shared" si="142"/>
        <v>9.8603744994047005E-2</v>
      </c>
      <c r="AR27" s="7">
        <f t="shared" si="142"/>
        <v>0.22280116715298048</v>
      </c>
      <c r="AS27" s="7">
        <f t="shared" si="142"/>
        <v>0.16382022471910113</v>
      </c>
      <c r="AT27" s="7">
        <f t="shared" si="142"/>
        <v>0.18973278079451283</v>
      </c>
      <c r="AU27" s="7">
        <f t="shared" si="142"/>
        <v>0.26724042198778453</v>
      </c>
      <c r="AV27" s="7">
        <f t="shared" si="142"/>
        <v>0.23752172579490849</v>
      </c>
      <c r="AW27" s="7">
        <f t="shared" si="142"/>
        <v>0.31312198689767445</v>
      </c>
      <c r="AX27" s="7">
        <f t="shared" si="142"/>
        <v>0.34115368886302322</v>
      </c>
      <c r="AY27" s="7">
        <f t="shared" si="142"/>
        <v>0.35911022838285533</v>
      </c>
      <c r="AZ27" s="7">
        <f t="shared" si="142"/>
        <v>0.37168967227724337</v>
      </c>
      <c r="BA27" s="7">
        <f t="shared" si="142"/>
        <v>0.37992978506677816</v>
      </c>
      <c r="BB27" s="7">
        <f t="shared" si="142"/>
        <v>0.38666269431537004</v>
      </c>
      <c r="BC27" s="7">
        <f t="shared" ref="BC27:BF27" si="143">BC8/BC3</f>
        <v>0.3920087936401167</v>
      </c>
      <c r="BD27" s="7">
        <f t="shared" si="143"/>
        <v>0.39612274435858846</v>
      </c>
      <c r="BE27" s="7">
        <f t="shared" si="143"/>
        <v>0.40007997314492799</v>
      </c>
      <c r="BF27" s="7">
        <f t="shared" si="143"/>
        <v>0.40388645035845455</v>
      </c>
      <c r="BH27" t="s">
        <v>41</v>
      </c>
      <c r="BI27" s="7">
        <v>0.08</v>
      </c>
    </row>
    <row r="28" spans="2:171" x14ac:dyDescent="0.3">
      <c r="B28" t="s">
        <v>37</v>
      </c>
      <c r="C28" s="7">
        <f t="shared" ref="C28:R28" si="144">C13/C3</f>
        <v>-0.22712933753943226</v>
      </c>
      <c r="D28" s="7">
        <f t="shared" si="144"/>
        <v>-0.26790450928381948</v>
      </c>
      <c r="E28" s="7">
        <f t="shared" si="144"/>
        <v>-0.47113163972286393</v>
      </c>
      <c r="F28" s="7">
        <f t="shared" si="144"/>
        <v>-0.12248995983935747</v>
      </c>
      <c r="G28" s="7">
        <f t="shared" si="144"/>
        <v>-9.4117647058823514E-2</v>
      </c>
      <c r="H28" s="7">
        <f t="shared" si="144"/>
        <v>-0.11577181208053688</v>
      </c>
      <c r="I28" s="7">
        <f t="shared" si="144"/>
        <v>-0.1426392067124333</v>
      </c>
      <c r="J28" s="7">
        <f t="shared" si="144"/>
        <v>-0.2276422764227643</v>
      </c>
      <c r="K28" s="7">
        <f t="shared" si="144"/>
        <v>-0.45173267326732686</v>
      </c>
      <c r="L28" s="7">
        <f t="shared" si="144"/>
        <v>-0.36477045908183642</v>
      </c>
      <c r="M28" s="7">
        <f t="shared" si="144"/>
        <v>-0.20484319174275514</v>
      </c>
      <c r="N28" s="7">
        <f t="shared" si="144"/>
        <v>-0.22032258064516125</v>
      </c>
      <c r="O28" s="7">
        <f t="shared" si="144"/>
        <v>-0.34857881136950897</v>
      </c>
      <c r="P28" s="7">
        <f t="shared" si="144"/>
        <v>-0.3146883946267342</v>
      </c>
      <c r="Q28" s="7">
        <f t="shared" si="144"/>
        <v>-0.15216964461024926</v>
      </c>
      <c r="R28" s="7">
        <f t="shared" si="144"/>
        <v>-0.24560478199718716</v>
      </c>
      <c r="S28" s="7">
        <f t="shared" ref="S28:AD28" si="145">S13/S3</f>
        <v>-0.28244274809160314</v>
      </c>
      <c r="T28" s="7">
        <f t="shared" si="145"/>
        <v>-0.2880581867388361</v>
      </c>
      <c r="U28" s="7">
        <f t="shared" si="145"/>
        <v>-0.5796793509754683</v>
      </c>
      <c r="V28" s="7">
        <f t="shared" si="145"/>
        <v>-0.52124352331606216</v>
      </c>
      <c r="W28" s="7">
        <f t="shared" si="145"/>
        <v>-0.44224019533038328</v>
      </c>
      <c r="X28" s="7">
        <f t="shared" si="145"/>
        <v>-0.46092831962397185</v>
      </c>
      <c r="Y28" s="7">
        <f t="shared" si="145"/>
        <v>-0.42077958496915296</v>
      </c>
      <c r="Z28" s="7">
        <f t="shared" si="145"/>
        <v>-0.47379650620082681</v>
      </c>
      <c r="AA28" s="7">
        <f t="shared" si="145"/>
        <v>-0.37726194933233514</v>
      </c>
      <c r="AB28" s="7">
        <f t="shared" si="145"/>
        <v>-0.26648013430330159</v>
      </c>
      <c r="AC28" s="7">
        <f t="shared" si="145"/>
        <v>-0.30337323177366698</v>
      </c>
      <c r="AD28" s="7">
        <f t="shared" si="145"/>
        <v>-0.24691358024691357</v>
      </c>
      <c r="AE28" s="7">
        <f t="shared" ref="AE28:AH28" si="146">AE13/AE3</f>
        <v>-0.24603941267387935</v>
      </c>
      <c r="AF28" s="7">
        <f t="shared" si="146"/>
        <v>-0.29841769223651338</v>
      </c>
      <c r="AG28" s="7">
        <f t="shared" si="146"/>
        <v>-0.21815239776404827</v>
      </c>
      <c r="AH28" s="7">
        <f t="shared" si="146"/>
        <v>-0.25342756183745585</v>
      </c>
      <c r="AI28" s="7"/>
      <c r="AJ28" s="7"/>
      <c r="AK28" s="7"/>
      <c r="AL28" s="7"/>
      <c r="AO28" s="7">
        <f t="shared" ref="AO28:BB28" si="147">AO13/AO3</f>
        <v>-0.2695384615384615</v>
      </c>
      <c r="AP28" s="7">
        <f t="shared" si="147"/>
        <v>-0.15047206923682141</v>
      </c>
      <c r="AQ28" s="7">
        <f t="shared" si="147"/>
        <v>-0.28790994696395711</v>
      </c>
      <c r="AR28" s="7">
        <f t="shared" si="147"/>
        <v>-0.25791996665277195</v>
      </c>
      <c r="AS28" s="7">
        <f t="shared" si="147"/>
        <v>-0.41523595505617983</v>
      </c>
      <c r="AT28" s="7">
        <f t="shared" si="147"/>
        <v>-0.44977136324664169</v>
      </c>
      <c r="AU28" s="7">
        <f t="shared" si="147"/>
        <v>-0.29516935036091063</v>
      </c>
      <c r="AV28" s="7">
        <f t="shared" si="147"/>
        <v>-0.25199877313158164</v>
      </c>
      <c r="AW28" s="7">
        <f t="shared" si="147"/>
        <v>-9.031678371725399E-2</v>
      </c>
      <c r="AX28" s="7">
        <f t="shared" si="147"/>
        <v>-1.1755676232570204E-2</v>
      </c>
      <c r="AY28" s="7">
        <f t="shared" si="147"/>
        <v>3.8929324514561055E-2</v>
      </c>
      <c r="AZ28" s="7">
        <f t="shared" si="147"/>
        <v>7.4929382289629809E-2</v>
      </c>
      <c r="BA28" s="7">
        <f t="shared" si="147"/>
        <v>0.10061634063716675</v>
      </c>
      <c r="BB28" s="7">
        <f t="shared" si="147"/>
        <v>0.11957497439411341</v>
      </c>
      <c r="BC28" s="7">
        <f t="shared" ref="BC28:BF28" si="148">BC13/BC3</f>
        <v>0.13455197298275828</v>
      </c>
      <c r="BD28" s="7">
        <f t="shared" si="148"/>
        <v>0.14597735565452269</v>
      </c>
      <c r="BE28" s="7">
        <f t="shared" si="148"/>
        <v>0.15698439093948074</v>
      </c>
      <c r="BF28" s="7">
        <f t="shared" si="148"/>
        <v>0.16758853287275641</v>
      </c>
      <c r="BH28" t="s">
        <v>42</v>
      </c>
      <c r="BI28" s="5">
        <f>NPV(BI27,AW19:FP19)</f>
        <v>19792.663580519587</v>
      </c>
    </row>
    <row r="29" spans="2:171" x14ac:dyDescent="0.3">
      <c r="B29" t="s">
        <v>54</v>
      </c>
      <c r="C29" s="7"/>
      <c r="D29" s="7"/>
      <c r="E29" s="7"/>
      <c r="F29" s="7"/>
      <c r="G29" s="7">
        <f t="shared" ref="G29:G30" si="149">G9/C9-1</f>
        <v>0.56521739130434789</v>
      </c>
      <c r="H29" s="7">
        <f t="shared" ref="H29:H30" si="150">H9/D9-1</f>
        <v>0.51219512195121975</v>
      </c>
      <c r="I29" s="7">
        <f t="shared" ref="I29:I30" si="151">I9/E9-1</f>
        <v>-0.22005571030640669</v>
      </c>
      <c r="J29" s="7">
        <f t="shared" ref="J29:J30" si="152">J9/F9-1</f>
        <v>0.55714285714285738</v>
      </c>
      <c r="K29" s="7">
        <f t="shared" ref="K29:K30" si="153">K9/G9-1</f>
        <v>1.2870370370370368</v>
      </c>
      <c r="L29" s="7">
        <f t="shared" ref="L29:L30" si="154">L9/H9-1</f>
        <v>0.62096774193548399</v>
      </c>
      <c r="M29" s="7">
        <f t="shared" ref="M29:M30" si="155">M9/I9-1</f>
        <v>0.84642857142857153</v>
      </c>
      <c r="N29" s="7">
        <f t="shared" ref="N29:N30" si="156">N9/J9-1</f>
        <v>0.83792048929663543</v>
      </c>
      <c r="O29" s="7">
        <f t="shared" ref="O29:O30" si="157">O9/K9-1</f>
        <v>0.95546558704453433</v>
      </c>
      <c r="P29" s="7">
        <f t="shared" ref="P29:P30" si="158">P9/L9-1</f>
        <v>2.1019900497512438</v>
      </c>
      <c r="Q29" s="7">
        <f t="shared" ref="Q29:Q30" si="159">Q9/M9-1</f>
        <v>1.67311411992263</v>
      </c>
      <c r="R29" s="7">
        <f t="shared" ref="R29:R30" si="160">R9/N9-1</f>
        <v>1.8885191347753749</v>
      </c>
      <c r="S29" s="7">
        <f t="shared" ref="S29:S30" si="161">S9/O9-1</f>
        <v>0.84057971014492772</v>
      </c>
      <c r="T29" s="7">
        <f t="shared" ref="T29:T30" si="162">T9/P9-1</f>
        <v>0.69847634322373708</v>
      </c>
      <c r="U29" s="7">
        <f t="shared" ref="U29:U30" si="163">U9/Q9-1</f>
        <v>0.70477568740955143</v>
      </c>
      <c r="V29" s="7">
        <f t="shared" ref="V29:V30" si="164">V9/R9-1</f>
        <v>0.43087557603686655</v>
      </c>
      <c r="W29" s="7">
        <f t="shared" ref="W29:W30" si="165">W9/S9-1</f>
        <v>0.54949381327334068</v>
      </c>
      <c r="X29" s="7">
        <f t="shared" ref="X29:X30" si="166">X9/T9-1</f>
        <v>0.48866855524079322</v>
      </c>
      <c r="Y29" s="7">
        <f t="shared" ref="Y29:Y30" si="167">Y9/U9-1</f>
        <v>0.36502546689303927</v>
      </c>
      <c r="Z29" s="7">
        <f t="shared" ref="Z29:Z30" si="168">Z9/V9-1</f>
        <v>0.37318840579710155</v>
      </c>
      <c r="AA29" s="7">
        <f t="shared" ref="AA29:AA30" si="169">AA9/W9-1</f>
        <v>0.31433756805807622</v>
      </c>
      <c r="AB29" s="7">
        <f t="shared" ref="AB29:AB30" si="170">AB9/X9-1</f>
        <v>0.14716143355534395</v>
      </c>
      <c r="AC29" s="7">
        <f t="shared" ref="AC29:AC30" si="171">AC9/Y9-1</f>
        <v>0.13619402985074602</v>
      </c>
      <c r="AD29" s="7">
        <f t="shared" ref="AD29:AD30" si="172">AD9/Z9-1</f>
        <v>4.0750513046027503E-2</v>
      </c>
      <c r="AE29" s="7">
        <f t="shared" ref="AE29:AE30" si="173">AE9/AA9-1</f>
        <v>3.4520850593758645E-2</v>
      </c>
      <c r="AF29" s="7">
        <f t="shared" ref="AF29:AF30" si="174">AF9/AB9-1</f>
        <v>6.4418025988388194E-2</v>
      </c>
      <c r="AG29" s="7">
        <f t="shared" ref="AG29:AG30" si="175">AG9/AC9-1</f>
        <v>9.0038314176245304E-2</v>
      </c>
      <c r="AH29" s="7">
        <f t="shared" ref="AH29:AH30" si="176">AH9/AD9-1</f>
        <v>0.15436619718309852</v>
      </c>
      <c r="AI29" s="7"/>
      <c r="AJ29" s="7"/>
      <c r="AK29" s="7"/>
      <c r="AL29" s="7"/>
      <c r="AO29" s="7"/>
      <c r="AP29" s="7">
        <f t="shared" ref="AP29:BA29" si="177">AP9/AO9-1</f>
        <v>0.2296211251435134</v>
      </c>
      <c r="AQ29" s="7">
        <f t="shared" si="177"/>
        <v>0.88048552754435105</v>
      </c>
      <c r="AR29" s="7">
        <f t="shared" si="177"/>
        <v>1.6469712015888778</v>
      </c>
      <c r="AS29" s="7">
        <f t="shared" si="177"/>
        <v>0.63871693866066392</v>
      </c>
      <c r="AT29" s="7">
        <f t="shared" si="177"/>
        <v>0.43486721611721602</v>
      </c>
      <c r="AU29" s="7">
        <f t="shared" si="177"/>
        <v>0.15213402473075366</v>
      </c>
      <c r="AV29" s="7">
        <f t="shared" si="177"/>
        <v>8.5514471679822845E-2</v>
      </c>
      <c r="AW29" s="7">
        <f t="shared" si="177"/>
        <v>3.0000000000000027E-2</v>
      </c>
      <c r="AX29" s="7">
        <f t="shared" si="177"/>
        <v>2.0000000000000018E-2</v>
      </c>
      <c r="AY29" s="7">
        <f t="shared" si="177"/>
        <v>2.0000000000000018E-2</v>
      </c>
      <c r="AZ29" s="7">
        <f t="shared" si="177"/>
        <v>2.0000000000000018E-2</v>
      </c>
      <c r="BA29" s="7">
        <f t="shared" si="177"/>
        <v>1.0000000000000009E-2</v>
      </c>
      <c r="BB29" s="7">
        <f t="shared" ref="BB29:BB30" si="178">BB9/BA9-1</f>
        <v>1.0000000000000009E-2</v>
      </c>
      <c r="BC29" s="7">
        <f t="shared" ref="BC29:BC30" si="179">BC9/BB9-1</f>
        <v>1.0000000000000009E-2</v>
      </c>
      <c r="BD29" s="7">
        <f t="shared" ref="BD29:BD30" si="180">BD9/BC9-1</f>
        <v>1.0000000000000009E-2</v>
      </c>
      <c r="BE29" s="7">
        <f t="shared" ref="BE29:BE30" si="181">BE9/BD9-1</f>
        <v>1.0000000000000009E-2</v>
      </c>
      <c r="BF29" s="7">
        <f t="shared" ref="BF29:BF30" si="182">BF9/BE9-1</f>
        <v>1.0000000000000009E-2</v>
      </c>
      <c r="BH29" t="s">
        <v>43</v>
      </c>
      <c r="BI29" s="5">
        <f>Main!D8</f>
        <v>4554.5999999999995</v>
      </c>
      <c r="BK29" t="s">
        <v>75</v>
      </c>
    </row>
    <row r="30" spans="2:171" x14ac:dyDescent="0.3">
      <c r="B30" t="s">
        <v>55</v>
      </c>
      <c r="C30" s="7"/>
      <c r="D30" s="7"/>
      <c r="E30" s="7"/>
      <c r="F30" s="7"/>
      <c r="G30" s="7">
        <f t="shared" si="149"/>
        <v>0.54385964912280715</v>
      </c>
      <c r="H30" s="7">
        <f t="shared" si="150"/>
        <v>0.36111111111111116</v>
      </c>
      <c r="I30" s="7">
        <f t="shared" si="151"/>
        <v>-0.23703703703703694</v>
      </c>
      <c r="J30" s="7">
        <f t="shared" si="152"/>
        <v>0.60493827160493829</v>
      </c>
      <c r="K30" s="7">
        <f t="shared" si="153"/>
        <v>2.4772727272727271</v>
      </c>
      <c r="L30" s="7">
        <f t="shared" si="154"/>
        <v>0.90816326530612224</v>
      </c>
      <c r="M30" s="7">
        <f t="shared" si="155"/>
        <v>0.57281553398058227</v>
      </c>
      <c r="N30" s="7">
        <f t="shared" si="156"/>
        <v>1.4461538461538455</v>
      </c>
      <c r="O30" s="7">
        <f t="shared" si="157"/>
        <v>2.0849673202614381</v>
      </c>
      <c r="P30" s="7">
        <f t="shared" si="158"/>
        <v>4.2245989304812834</v>
      </c>
      <c r="Q30" s="7">
        <f t="shared" si="159"/>
        <v>2.1851851851851856</v>
      </c>
      <c r="R30" s="7">
        <f t="shared" si="160"/>
        <v>0.86792452830188727</v>
      </c>
      <c r="S30" s="7">
        <f t="shared" si="161"/>
        <v>-0.38771186440677974</v>
      </c>
      <c r="T30" s="7">
        <f t="shared" si="162"/>
        <v>-0.19447287615148412</v>
      </c>
      <c r="U30" s="7">
        <f t="shared" si="163"/>
        <v>0.57364341085271309</v>
      </c>
      <c r="V30" s="7">
        <f t="shared" si="164"/>
        <v>0.34175084175084192</v>
      </c>
      <c r="W30" s="7">
        <f t="shared" si="165"/>
        <v>0.68858131487889263</v>
      </c>
      <c r="X30" s="7">
        <f t="shared" si="166"/>
        <v>0.22236340533672183</v>
      </c>
      <c r="Y30" s="7">
        <f t="shared" si="167"/>
        <v>0.2007389162561577</v>
      </c>
      <c r="Z30" s="7">
        <f t="shared" si="168"/>
        <v>0.23964868255959848</v>
      </c>
      <c r="AA30" s="7">
        <f t="shared" si="169"/>
        <v>2.049180327868827E-3</v>
      </c>
      <c r="AB30" s="7">
        <f t="shared" si="170"/>
        <v>9.7713097713097552E-2</v>
      </c>
      <c r="AC30" s="7">
        <f t="shared" si="171"/>
        <v>1.2307692307692353E-2</v>
      </c>
      <c r="AD30" s="7">
        <f t="shared" si="172"/>
        <v>6.578947368421062E-2</v>
      </c>
      <c r="AE30" s="7">
        <f t="shared" si="173"/>
        <v>0.21779141104294486</v>
      </c>
      <c r="AF30" s="7">
        <f t="shared" si="174"/>
        <v>0.44128787878787867</v>
      </c>
      <c r="AG30" s="7">
        <f t="shared" si="175"/>
        <v>0.46909827760891587</v>
      </c>
      <c r="AH30" s="7">
        <f t="shared" si="176"/>
        <v>0.5555555555555558</v>
      </c>
      <c r="AI30" s="7"/>
      <c r="AJ30" s="7"/>
      <c r="AK30" s="7"/>
      <c r="AL30" s="7"/>
      <c r="AO30" s="7"/>
      <c r="AP30" s="7">
        <f t="shared" ref="AP30:BA30" si="183">AP10/AO10-1</f>
        <v>0.21449275362318865</v>
      </c>
      <c r="AQ30" s="7">
        <f t="shared" si="183"/>
        <v>1.3221957040572789</v>
      </c>
      <c r="AR30" s="7">
        <f t="shared" si="183"/>
        <v>2.1151079136690649</v>
      </c>
      <c r="AS30" s="7">
        <f t="shared" si="183"/>
        <v>-1.8805674694820307E-2</v>
      </c>
      <c r="AT30" s="7">
        <f t="shared" si="183"/>
        <v>0.31170141223940839</v>
      </c>
      <c r="AU30" s="7">
        <f t="shared" si="183"/>
        <v>4.4347603178672035E-2</v>
      </c>
      <c r="AV30" s="7">
        <f t="shared" si="183"/>
        <v>0.42390770741286188</v>
      </c>
      <c r="AW30" s="7">
        <f t="shared" si="183"/>
        <v>9.000000000000008E-2</v>
      </c>
      <c r="AX30" s="7">
        <f t="shared" si="183"/>
        <v>5.0000000000000044E-2</v>
      </c>
      <c r="AY30" s="7">
        <f t="shared" si="183"/>
        <v>4.0000000000000036E-2</v>
      </c>
      <c r="AZ30" s="7">
        <f t="shared" si="183"/>
        <v>3.0000000000000027E-2</v>
      </c>
      <c r="BA30" s="7">
        <f t="shared" si="183"/>
        <v>2.0000000000000018E-2</v>
      </c>
      <c r="BB30" s="7">
        <f t="shared" si="178"/>
        <v>2.0000000000000018E-2</v>
      </c>
      <c r="BC30" s="7">
        <f t="shared" si="179"/>
        <v>2.0000000000000018E-2</v>
      </c>
      <c r="BD30" s="7">
        <f t="shared" si="180"/>
        <v>2.0000000000000018E-2</v>
      </c>
      <c r="BE30" s="7">
        <f t="shared" si="181"/>
        <v>2.0000000000000018E-2</v>
      </c>
      <c r="BF30" s="7">
        <f t="shared" si="182"/>
        <v>2.0000000000000018E-2</v>
      </c>
      <c r="BH30" t="s">
        <v>44</v>
      </c>
      <c r="BI30" s="5">
        <f>BI28+BI29</f>
        <v>24347.263580519586</v>
      </c>
    </row>
    <row r="31" spans="2:171" x14ac:dyDescent="0.3">
      <c r="B31" t="s">
        <v>38</v>
      </c>
      <c r="C31" s="7">
        <f t="shared" ref="C31:R31" si="184">C11/C3</f>
        <v>0.14826498422712936</v>
      </c>
      <c r="D31" s="7">
        <f t="shared" si="184"/>
        <v>0.14588859416445621</v>
      </c>
      <c r="E31" s="7">
        <f t="shared" si="184"/>
        <v>0.13048498845265591</v>
      </c>
      <c r="F31" s="7">
        <f t="shared" si="184"/>
        <v>8.9357429718875517E-2</v>
      </c>
      <c r="G31" s="7">
        <f t="shared" si="184"/>
        <v>7.601809954751132E-2</v>
      </c>
      <c r="H31" s="7">
        <f t="shared" si="184"/>
        <v>8.5570469798657706E-2</v>
      </c>
      <c r="I31" s="7">
        <f t="shared" si="184"/>
        <v>9.6872616323417232E-2</v>
      </c>
      <c r="J31" s="7">
        <f t="shared" si="184"/>
        <v>9.1463414634146339E-2</v>
      </c>
      <c r="K31" s="7">
        <f t="shared" si="184"/>
        <v>9.7153465346534656E-2</v>
      </c>
      <c r="L31" s="7">
        <f t="shared" si="184"/>
        <v>6.9361277445109781E-2</v>
      </c>
      <c r="M31" s="7">
        <f t="shared" si="184"/>
        <v>5.1210797935688765E-2</v>
      </c>
      <c r="N31" s="7">
        <f t="shared" si="184"/>
        <v>5.129032258064517E-2</v>
      </c>
      <c r="O31" s="7">
        <f t="shared" si="184"/>
        <v>5.1679586563307491E-2</v>
      </c>
      <c r="P31" s="7">
        <f t="shared" si="184"/>
        <v>4.1841004184100417E-2</v>
      </c>
      <c r="Q31" s="7">
        <f t="shared" si="184"/>
        <v>3.8484193991753388E-2</v>
      </c>
      <c r="R31" s="7">
        <f t="shared" si="184"/>
        <v>4.8874824191279892E-2</v>
      </c>
      <c r="S31" s="7">
        <f t="shared" ref="S31:AD31" si="185">S11/S3</f>
        <v>5.4179854775646991E-2</v>
      </c>
      <c r="T31" s="7">
        <f t="shared" si="185"/>
        <v>4.4824086603518262E-2</v>
      </c>
      <c r="U31" s="7">
        <f t="shared" si="185"/>
        <v>6.200502221363724E-2</v>
      </c>
      <c r="V31" s="7">
        <f t="shared" si="185"/>
        <v>5.1295336787564767E-2</v>
      </c>
      <c r="W31" s="7">
        <f t="shared" si="185"/>
        <v>4.0897298947047155E-2</v>
      </c>
      <c r="X31" s="7">
        <f t="shared" si="185"/>
        <v>4.4506462984723862E-2</v>
      </c>
      <c r="Y31" s="7">
        <f t="shared" si="185"/>
        <v>5.7347167694896235E-2</v>
      </c>
      <c r="Z31" s="7">
        <f t="shared" si="185"/>
        <v>6.4675290038671826E-2</v>
      </c>
      <c r="AA31" s="7">
        <f t="shared" si="185"/>
        <v>4.430300761262948E-2</v>
      </c>
      <c r="AB31" s="7">
        <f t="shared" si="185"/>
        <v>4.0626748740906542E-2</v>
      </c>
      <c r="AC31" s="7">
        <f t="shared" si="185"/>
        <v>5.7236126224156691E-2</v>
      </c>
      <c r="AD31" s="7">
        <f t="shared" si="185"/>
        <v>5.0394656952033996E-2</v>
      </c>
      <c r="AE31" s="7">
        <f t="shared" ref="AE31:AH31" si="186">AE11/AE3</f>
        <v>4.6174652241112821E-2</v>
      </c>
      <c r="AF31" s="7">
        <f t="shared" si="186"/>
        <v>4.8857222170815208E-2</v>
      </c>
      <c r="AG31" s="7">
        <f t="shared" si="186"/>
        <v>4.9352750809061485E-2</v>
      </c>
      <c r="AH31" s="7">
        <f t="shared" si="186"/>
        <v>5.5477031802120144E-2</v>
      </c>
      <c r="AI31" s="7"/>
      <c r="AJ31" s="7"/>
      <c r="AK31" s="7"/>
      <c r="AL31" s="7"/>
      <c r="AO31" s="7">
        <f t="shared" ref="AO31:BB31" si="187">AO11/AO3</f>
        <v>0.12492307692307693</v>
      </c>
      <c r="AP31" s="7">
        <f t="shared" si="187"/>
        <v>8.8119590873328088E-2</v>
      </c>
      <c r="AQ31" s="7">
        <f t="shared" si="187"/>
        <v>6.3210304145470284E-2</v>
      </c>
      <c r="AR31" s="7">
        <f t="shared" si="187"/>
        <v>4.5018757815756566E-2</v>
      </c>
      <c r="AS31" s="7">
        <f t="shared" si="187"/>
        <v>5.2764044943820226E-2</v>
      </c>
      <c r="AT31" s="7">
        <f t="shared" si="187"/>
        <v>5.2336381823378103E-2</v>
      </c>
      <c r="AU31" s="7">
        <f t="shared" si="187"/>
        <v>4.8362021099389224E-2</v>
      </c>
      <c r="AV31" s="7">
        <f t="shared" si="187"/>
        <v>5.034250076679276E-2</v>
      </c>
      <c r="AW31" s="7">
        <f t="shared" si="187"/>
        <v>0.05</v>
      </c>
      <c r="AX31" s="7">
        <f t="shared" si="187"/>
        <v>0.05</v>
      </c>
      <c r="AY31" s="7">
        <f t="shared" si="187"/>
        <v>0.05</v>
      </c>
      <c r="AZ31" s="7">
        <f t="shared" si="187"/>
        <v>0.05</v>
      </c>
      <c r="BA31" s="7">
        <f t="shared" si="187"/>
        <v>0.05</v>
      </c>
      <c r="BB31" s="7">
        <f t="shared" si="187"/>
        <v>0.05</v>
      </c>
      <c r="BC31" s="7">
        <f t="shared" ref="BC31:BF31" si="188">BC11/BC3</f>
        <v>0.05</v>
      </c>
      <c r="BD31" s="7">
        <f t="shared" si="188"/>
        <v>0.05</v>
      </c>
      <c r="BE31" s="7">
        <f t="shared" si="188"/>
        <v>5.000000000000001E-2</v>
      </c>
      <c r="BF31" s="7">
        <f t="shared" si="188"/>
        <v>0.05</v>
      </c>
      <c r="BH31" t="s">
        <v>45</v>
      </c>
      <c r="BI31" s="4">
        <f>BI30/BA20</f>
        <v>34.544925625027794</v>
      </c>
    </row>
    <row r="32" spans="2:171" x14ac:dyDescent="0.3">
      <c r="B32" t="s">
        <v>29</v>
      </c>
      <c r="C32" s="7">
        <f t="shared" ref="C32:L32" si="189">C17/C16</f>
        <v>0</v>
      </c>
      <c r="D32" s="7">
        <f t="shared" si="189"/>
        <v>0</v>
      </c>
      <c r="E32" s="7">
        <f t="shared" si="189"/>
        <v>0</v>
      </c>
      <c r="F32" s="7">
        <f t="shared" si="189"/>
        <v>0</v>
      </c>
      <c r="G32" s="7">
        <f t="shared" si="189"/>
        <v>0</v>
      </c>
      <c r="H32" s="7">
        <f t="shared" si="189"/>
        <v>0</v>
      </c>
      <c r="I32" s="7">
        <f t="shared" si="189"/>
        <v>0</v>
      </c>
      <c r="J32" s="7">
        <f t="shared" si="189"/>
        <v>0</v>
      </c>
      <c r="K32" s="7">
        <f t="shared" si="189"/>
        <v>0</v>
      </c>
      <c r="L32" s="7">
        <f t="shared" si="189"/>
        <v>0</v>
      </c>
      <c r="M32" s="7">
        <f>M17/M16</f>
        <v>0</v>
      </c>
      <c r="N32" s="7">
        <f t="shared" ref="N32:R32" si="190">N17/N16</f>
        <v>0.10436137071651093</v>
      </c>
      <c r="O32" s="7">
        <f t="shared" si="190"/>
        <v>0</v>
      </c>
      <c r="P32" s="7">
        <f t="shared" si="190"/>
        <v>0</v>
      </c>
      <c r="Q32" s="7">
        <f t="shared" si="190"/>
        <v>1.2771392081736919E-2</v>
      </c>
      <c r="R32" s="7">
        <f t="shared" si="190"/>
        <v>-4.771642808452623E-3</v>
      </c>
      <c r="S32" s="7">
        <f t="shared" ref="S32:AD32" si="191">S17/S16</f>
        <v>-1.852995676343421E-3</v>
      </c>
      <c r="T32" s="7">
        <f t="shared" si="191"/>
        <v>1.6750418760469021E-3</v>
      </c>
      <c r="U32" s="7">
        <f t="shared" si="191"/>
        <v>-1.3262599469496023E-3</v>
      </c>
      <c r="V32" s="7">
        <f t="shared" si="191"/>
        <v>-1.1103400416377517E-2</v>
      </c>
      <c r="W32" s="7">
        <f t="shared" si="191"/>
        <v>-2.6012634708286872E-3</v>
      </c>
      <c r="X32" s="7">
        <f t="shared" si="191"/>
        <v>4.1987403778866337E-3</v>
      </c>
      <c r="Y32" s="7">
        <f t="shared" si="191"/>
        <v>-2.5152712899748474E-3</v>
      </c>
      <c r="Z32" s="7">
        <f t="shared" si="191"/>
        <v>-9.225092250922509E-4</v>
      </c>
      <c r="AA32" s="7">
        <f t="shared" si="191"/>
        <v>-4.0620384047267344E-3</v>
      </c>
      <c r="AB32" s="7">
        <f t="shared" si="191"/>
        <v>-4.8262548262548275E-4</v>
      </c>
      <c r="AC32" s="7">
        <f t="shared" si="191"/>
        <v>-1.25E-3</v>
      </c>
      <c r="AD32" s="7">
        <f t="shared" si="191"/>
        <v>-1.1915673693858845E-2</v>
      </c>
      <c r="AE32" s="7">
        <f t="shared" ref="AE32:AH32" si="192">AE17/AE16</f>
        <v>-4.1763341067285404E-3</v>
      </c>
      <c r="AF32" s="7">
        <f t="shared" si="192"/>
        <v>-3.5855145213338118E-3</v>
      </c>
      <c r="AG32" s="7">
        <f t="shared" si="192"/>
        <v>-3.1164783794312423E-3</v>
      </c>
      <c r="AH32" s="7">
        <f t="shared" si="192"/>
        <v>-3.1535793125197094E-3</v>
      </c>
      <c r="AI32" s="7"/>
      <c r="AJ32" s="7"/>
      <c r="AK32" s="7"/>
      <c r="AL32" s="7"/>
      <c r="AO32" s="7">
        <f t="shared" ref="AO32:AQ32" si="193">AO17/AO16</f>
        <v>0</v>
      </c>
      <c r="AP32" s="7">
        <f t="shared" si="193"/>
        <v>0</v>
      </c>
      <c r="AQ32" s="7">
        <f t="shared" si="193"/>
        <v>2.5359576078728244E-2</v>
      </c>
      <c r="AR32" s="7">
        <f t="shared" ref="AR32:BA32" si="194">AR17/AR16</f>
        <v>5.953562214725146E-4</v>
      </c>
      <c r="AS32" s="7">
        <f t="shared" si="194"/>
        <v>-3.8676407391491185E-3</v>
      </c>
      <c r="AT32" s="7">
        <f t="shared" si="194"/>
        <v>-4.3162983425414374E-4</v>
      </c>
      <c r="AU32" s="7">
        <f t="shared" si="194"/>
        <v>-4.3794061098055975E-3</v>
      </c>
      <c r="AV32" s="7">
        <f t="shared" si="194"/>
        <v>-3.4637708294326898E-3</v>
      </c>
      <c r="AW32" s="7">
        <f t="shared" si="194"/>
        <v>0</v>
      </c>
      <c r="AX32" s="7">
        <f t="shared" si="194"/>
        <v>0</v>
      </c>
      <c r="AY32" s="7">
        <f t="shared" si="194"/>
        <v>0</v>
      </c>
      <c r="AZ32" s="7">
        <f t="shared" si="194"/>
        <v>0</v>
      </c>
      <c r="BA32" s="7">
        <f t="shared" si="194"/>
        <v>0</v>
      </c>
      <c r="BB32" s="7">
        <f t="shared" ref="BB32:BF32" si="195">BB17/BB16</f>
        <v>0</v>
      </c>
      <c r="BC32" s="7">
        <f t="shared" si="195"/>
        <v>0</v>
      </c>
      <c r="BD32" s="7">
        <f t="shared" si="195"/>
        <v>0</v>
      </c>
      <c r="BE32" s="7">
        <f t="shared" si="195"/>
        <v>0</v>
      </c>
      <c r="BF32" s="7">
        <f t="shared" si="195"/>
        <v>0</v>
      </c>
      <c r="BH32" t="s">
        <v>46</v>
      </c>
      <c r="BI32" s="4">
        <f>Main!D3</f>
        <v>69.8</v>
      </c>
    </row>
    <row r="33" spans="2:61" x14ac:dyDescent="0.3">
      <c r="B33" s="1" t="s">
        <v>97</v>
      </c>
      <c r="C33" s="7">
        <f>C19/C3</f>
        <v>-0.22712933753943226</v>
      </c>
      <c r="D33" s="7">
        <f t="shared" ref="D33:AH33" si="196">D19/D3</f>
        <v>-0.31299734748010588</v>
      </c>
      <c r="E33" s="7">
        <f t="shared" si="196"/>
        <v>-0.45727482678983844</v>
      </c>
      <c r="F33" s="7">
        <f t="shared" si="196"/>
        <v>-0.10642570281124501</v>
      </c>
      <c r="G33" s="7">
        <f t="shared" si="196"/>
        <v>-8.0542986425339358E-2</v>
      </c>
      <c r="H33" s="7">
        <f t="shared" si="196"/>
        <v>-0.10234899328859058</v>
      </c>
      <c r="I33" s="7">
        <f t="shared" si="196"/>
        <v>-0.13272311212814647</v>
      </c>
      <c r="J33" s="7">
        <f t="shared" si="196"/>
        <v>-0.22086720867208678</v>
      </c>
      <c r="K33" s="7">
        <f t="shared" si="196"/>
        <v>-0.46039603960396053</v>
      </c>
      <c r="L33" s="7">
        <f t="shared" si="196"/>
        <v>-0.37075848303393227</v>
      </c>
      <c r="M33" s="7">
        <f t="shared" si="196"/>
        <v>-0.19333068678046852</v>
      </c>
      <c r="N33" s="7">
        <f t="shared" si="196"/>
        <v>-0.17967741935483866</v>
      </c>
      <c r="O33" s="7">
        <f t="shared" si="196"/>
        <v>-0.34651162790697665</v>
      </c>
      <c r="P33" s="7">
        <f t="shared" si="196"/>
        <v>-0.30852235190486677</v>
      </c>
      <c r="Q33" s="7">
        <f t="shared" si="196"/>
        <v>-0.14549381504025119</v>
      </c>
      <c r="R33" s="7">
        <f t="shared" si="196"/>
        <v>-0.2521097046413503</v>
      </c>
      <c r="S33" s="7">
        <f t="shared" si="196"/>
        <v>-0.29864084900390997</v>
      </c>
      <c r="T33" s="7">
        <f t="shared" si="196"/>
        <v>-0.29854533152909313</v>
      </c>
      <c r="U33" s="7">
        <f t="shared" si="196"/>
        <v>-0.57542978559010993</v>
      </c>
      <c r="V33" s="7">
        <f t="shared" si="196"/>
        <v>-0.50051813471502582</v>
      </c>
      <c r="W33" s="7">
        <f t="shared" si="196"/>
        <v>-0.40927819319395708</v>
      </c>
      <c r="X33" s="7">
        <f t="shared" si="196"/>
        <v>-0.41495299647473566</v>
      </c>
      <c r="Y33" s="7">
        <f t="shared" si="196"/>
        <v>-0.38881099270891745</v>
      </c>
      <c r="Z33" s="7">
        <f t="shared" si="196"/>
        <v>-0.4319242565675423</v>
      </c>
      <c r="AA33" s="7">
        <f t="shared" si="196"/>
        <v>-0.33770123549232517</v>
      </c>
      <c r="AB33" s="7">
        <f t="shared" si="196"/>
        <v>-0.23055400111919411</v>
      </c>
      <c r="AC33" s="7">
        <f t="shared" si="196"/>
        <v>-0.26028291621327526</v>
      </c>
      <c r="AD33" s="7">
        <f t="shared" si="196"/>
        <v>-0.2219186399514268</v>
      </c>
      <c r="AE33" s="7">
        <f t="shared" si="196"/>
        <v>-0.20778593508500764</v>
      </c>
      <c r="AF33" s="7">
        <f t="shared" si="196"/>
        <v>-0.2577033404275007</v>
      </c>
      <c r="AG33" s="7">
        <f t="shared" si="196"/>
        <v>-0.18814357163871734</v>
      </c>
      <c r="AH33" s="7">
        <f t="shared" si="196"/>
        <v>-0.22332155477031801</v>
      </c>
      <c r="AI33" s="7"/>
      <c r="AJ33" s="7"/>
      <c r="AK33" s="7"/>
      <c r="AL33" s="7"/>
      <c r="AO33" s="7">
        <f t="shared" ref="AO33:BF33" si="197">AO19/AO3</f>
        <v>-0.27138461538461534</v>
      </c>
      <c r="AP33" s="7">
        <f t="shared" si="197"/>
        <v>-0.1398505114083399</v>
      </c>
      <c r="AQ33" s="7">
        <f t="shared" si="197"/>
        <v>-0.27394739690442682</v>
      </c>
      <c r="AR33" s="7">
        <f t="shared" si="197"/>
        <v>-0.25620050020842011</v>
      </c>
      <c r="AS33" s="7">
        <f t="shared" si="197"/>
        <v>-0.4155505617977529</v>
      </c>
      <c r="AT33" s="7">
        <f t="shared" si="197"/>
        <v>-0.41151043155187178</v>
      </c>
      <c r="AU33" s="7">
        <f t="shared" si="197"/>
        <v>-0.25960577456968353</v>
      </c>
      <c r="AV33" s="7">
        <f t="shared" si="197"/>
        <v>-0.21785093548716908</v>
      </c>
      <c r="AW33" s="7">
        <f t="shared" si="197"/>
        <v>-6.3589045480641412E-2</v>
      </c>
      <c r="AX33" s="7">
        <f t="shared" si="197"/>
        <v>1.0097560615950865E-2</v>
      </c>
      <c r="AY33" s="7">
        <f t="shared" si="197"/>
        <v>5.7629628562508764E-2</v>
      </c>
      <c r="AZ33" s="7">
        <f t="shared" si="197"/>
        <v>9.1394814597112309E-2</v>
      </c>
      <c r="BA33" s="7">
        <f t="shared" si="197"/>
        <v>0.11556143722316443</v>
      </c>
      <c r="BB33" s="7">
        <f t="shared" si="197"/>
        <v>0.1334360214653994</v>
      </c>
      <c r="BC33" s="7">
        <f t="shared" si="197"/>
        <v>0.14755302380328864</v>
      </c>
      <c r="BD33" s="7">
        <f t="shared" si="197"/>
        <v>0.15831761662736937</v>
      </c>
      <c r="BE33" s="7">
        <f t="shared" si="197"/>
        <v>0.16868886595835814</v>
      </c>
      <c r="BF33" s="7">
        <f t="shared" si="197"/>
        <v>0.17868127813217641</v>
      </c>
      <c r="BH33" s="1" t="s">
        <v>47</v>
      </c>
      <c r="BI33" s="10">
        <f>BI31/BI32-1</f>
        <v>-0.5050870254294012</v>
      </c>
    </row>
    <row r="34" spans="2:61" x14ac:dyDescent="0.3">
      <c r="BH34" t="s">
        <v>48</v>
      </c>
      <c r="BI34" s="6" t="s">
        <v>80</v>
      </c>
    </row>
    <row r="35" spans="2:61" s="1" customFormat="1" x14ac:dyDescent="0.3">
      <c r="B35" s="1" t="s">
        <v>31</v>
      </c>
      <c r="AS35" s="9">
        <f t="shared" ref="AS35:AT35" si="198">AS19</f>
        <v>-924.60000000000025</v>
      </c>
      <c r="AT35" s="9">
        <f t="shared" si="198"/>
        <v>-1151.8999999999996</v>
      </c>
      <c r="AU35" s="9">
        <f>AU19</f>
        <v>-935.1</v>
      </c>
      <c r="AV35" s="9">
        <f t="shared" ref="AV35:BF35" si="199">AV19</f>
        <v>-1065.4000000000003</v>
      </c>
      <c r="AW35" s="9">
        <f t="shared" si="199"/>
        <v>-404.27689499999991</v>
      </c>
      <c r="AX35" s="9">
        <f t="shared" si="199"/>
        <v>77.036107500000028</v>
      </c>
      <c r="AY35" s="9">
        <f t="shared" si="199"/>
        <v>505.61683108199867</v>
      </c>
      <c r="AZ35" s="9">
        <f t="shared" si="199"/>
        <v>898.08052921686055</v>
      </c>
      <c r="BA35" s="9">
        <f t="shared" si="199"/>
        <v>1237.7506327899966</v>
      </c>
      <c r="BB35" s="9">
        <f t="shared" si="199"/>
        <v>1529.2450548612426</v>
      </c>
      <c r="BC35" s="9">
        <f t="shared" si="199"/>
        <v>1792.4951094400242</v>
      </c>
      <c r="BD35" s="9">
        <f t="shared" si="199"/>
        <v>2019.4281590402563</v>
      </c>
      <c r="BE35" s="9">
        <f t="shared" si="199"/>
        <v>2259.3050979058498</v>
      </c>
      <c r="BF35" s="9">
        <f t="shared" si="199"/>
        <v>2512.7935759448083</v>
      </c>
    </row>
    <row r="36" spans="2:61" x14ac:dyDescent="0.3">
      <c r="B36" t="s">
        <v>81</v>
      </c>
      <c r="AS36" s="5">
        <v>130.1</v>
      </c>
      <c r="AT36" s="5">
        <v>208.1</v>
      </c>
      <c r="AU36" s="5">
        <v>226.4</v>
      </c>
      <c r="AV36" s="5">
        <v>225.8</v>
      </c>
      <c r="AW36" s="5">
        <f t="shared" ref="AW36:BF36" si="200">AV36*1.05</f>
        <v>237.09000000000003</v>
      </c>
      <c r="AX36" s="5">
        <f t="shared" si="200"/>
        <v>248.94450000000003</v>
      </c>
      <c r="AY36" s="5">
        <f t="shared" si="200"/>
        <v>261.39172500000006</v>
      </c>
      <c r="AZ36" s="5">
        <f t="shared" si="200"/>
        <v>274.46131125000011</v>
      </c>
      <c r="BA36" s="5">
        <f t="shared" si="200"/>
        <v>288.18437681250015</v>
      </c>
      <c r="BB36" s="5">
        <f t="shared" si="200"/>
        <v>302.59359565312519</v>
      </c>
      <c r="BC36" s="5">
        <f t="shared" si="200"/>
        <v>317.72327543578149</v>
      </c>
      <c r="BD36" s="5">
        <f t="shared" si="200"/>
        <v>333.60943920757057</v>
      </c>
      <c r="BE36" s="5">
        <f t="shared" si="200"/>
        <v>350.28991116794913</v>
      </c>
      <c r="BF36" s="5">
        <f t="shared" si="200"/>
        <v>367.8044067263466</v>
      </c>
    </row>
    <row r="37" spans="2:61" x14ac:dyDescent="0.3">
      <c r="B37" t="s">
        <v>82</v>
      </c>
      <c r="AS37" s="5">
        <v>589.5</v>
      </c>
      <c r="AT37" s="5">
        <v>868</v>
      </c>
      <c r="AU37" s="5">
        <v>1015.8</v>
      </c>
      <c r="AV37" s="5">
        <v>1129</v>
      </c>
      <c r="AW37" s="5">
        <f>AV37*1.1</f>
        <v>1241.9000000000001</v>
      </c>
      <c r="AX37" s="5">
        <f>AW37*1.05</f>
        <v>1303.9950000000001</v>
      </c>
      <c r="AY37" s="5">
        <f>AX37*0.95</f>
        <v>1238.7952500000001</v>
      </c>
      <c r="AZ37" s="5">
        <f>AY37*0.9</f>
        <v>1114.9157250000001</v>
      </c>
      <c r="BA37" s="5">
        <f t="shared" ref="BA37" si="201">AZ37*0.9</f>
        <v>1003.4241525000001</v>
      </c>
      <c r="BB37" s="5">
        <f>BA37*0.8</f>
        <v>802.73932200000013</v>
      </c>
      <c r="BC37" s="5">
        <f t="shared" ref="BC37:BF37" si="202">BB37*0.8</f>
        <v>642.19145760000015</v>
      </c>
      <c r="BD37" s="5">
        <f t="shared" si="202"/>
        <v>513.75316608000014</v>
      </c>
      <c r="BE37" s="5">
        <f t="shared" si="202"/>
        <v>411.00253286400016</v>
      </c>
      <c r="BF37" s="5">
        <f t="shared" si="202"/>
        <v>328.80202629120015</v>
      </c>
    </row>
    <row r="38" spans="2:61" x14ac:dyDescent="0.3">
      <c r="B38" t="s">
        <v>83</v>
      </c>
      <c r="AS38" s="5">
        <v>69.099999999999994</v>
      </c>
      <c r="AT38" s="5">
        <v>97.1</v>
      </c>
      <c r="AU38" s="5">
        <v>118.1</v>
      </c>
      <c r="AV38" s="5">
        <v>120.3</v>
      </c>
      <c r="AW38" s="5">
        <f t="shared" ref="AW38:BF38" si="203">AV38*1.03</f>
        <v>123.90900000000001</v>
      </c>
      <c r="AX38" s="5">
        <f t="shared" si="203"/>
        <v>127.62627000000001</v>
      </c>
      <c r="AY38" s="5">
        <f t="shared" si="203"/>
        <v>131.4550581</v>
      </c>
      <c r="AZ38" s="5">
        <f t="shared" si="203"/>
        <v>135.39870984300001</v>
      </c>
      <c r="BA38" s="5">
        <f t="shared" si="203"/>
        <v>139.46067113829</v>
      </c>
      <c r="BB38" s="5">
        <f t="shared" si="203"/>
        <v>143.6444912724387</v>
      </c>
      <c r="BC38" s="5">
        <f t="shared" si="203"/>
        <v>147.95382601061186</v>
      </c>
      <c r="BD38" s="5">
        <f t="shared" si="203"/>
        <v>152.39244079093021</v>
      </c>
      <c r="BE38" s="5">
        <f t="shared" si="203"/>
        <v>156.96421401465813</v>
      </c>
      <c r="BF38" s="5">
        <f t="shared" si="203"/>
        <v>161.67314043509788</v>
      </c>
    </row>
    <row r="39" spans="2:61" x14ac:dyDescent="0.3">
      <c r="B39" t="s">
        <v>84</v>
      </c>
      <c r="AS39" s="5">
        <v>0</v>
      </c>
      <c r="AT39" s="5">
        <v>-73.2</v>
      </c>
      <c r="AU39" s="5">
        <v>-82.8</v>
      </c>
      <c r="AV39" s="5">
        <v>-66.5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</row>
    <row r="40" spans="2:61" x14ac:dyDescent="0.3">
      <c r="B40" t="s">
        <v>5</v>
      </c>
      <c r="AS40" s="5">
        <v>1.3</v>
      </c>
      <c r="AT40" s="5">
        <v>1.3</v>
      </c>
      <c r="AU40" s="5">
        <v>1.4</v>
      </c>
      <c r="AV40" s="5">
        <v>1.4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</row>
    <row r="41" spans="2:61" x14ac:dyDescent="0.3">
      <c r="B41" t="s">
        <v>85</v>
      </c>
      <c r="AS41" s="5">
        <v>0.4</v>
      </c>
      <c r="AT41" s="5">
        <v>9</v>
      </c>
      <c r="AU41" s="5">
        <v>3.1</v>
      </c>
      <c r="AV41" s="5">
        <v>4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</row>
    <row r="42" spans="2:61" x14ac:dyDescent="0.3">
      <c r="B42" t="s">
        <v>86</v>
      </c>
      <c r="AS42" s="5">
        <v>-72.5</v>
      </c>
      <c r="AT42" s="5">
        <v>-126.2</v>
      </c>
      <c r="AU42" s="5">
        <v>-110.5</v>
      </c>
      <c r="AV42" s="5">
        <v>-290.7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</row>
    <row r="43" spans="2:61" x14ac:dyDescent="0.3">
      <c r="B43" t="s">
        <v>87</v>
      </c>
      <c r="AS43" s="5">
        <v>-33.799999999999997</v>
      </c>
      <c r="AT43" s="5">
        <v>-12.8</v>
      </c>
      <c r="AU43" s="5">
        <v>-3.1</v>
      </c>
      <c r="AV43" s="5">
        <v>-33.799999999999997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</row>
    <row r="44" spans="2:61" x14ac:dyDescent="0.3">
      <c r="B44" t="s">
        <v>88</v>
      </c>
      <c r="AS44" s="5">
        <v>-101.7</v>
      </c>
      <c r="AT44" s="5">
        <v>-139.9</v>
      </c>
      <c r="AU44" s="5">
        <v>-165.7</v>
      </c>
      <c r="AV44" s="5">
        <v>-331.4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</row>
    <row r="45" spans="2:61" x14ac:dyDescent="0.3">
      <c r="B45" t="s">
        <v>89</v>
      </c>
      <c r="AS45" s="5">
        <v>-1.2</v>
      </c>
      <c r="AT45" s="5">
        <v>-6</v>
      </c>
      <c r="AU45" s="5">
        <v>-3.4</v>
      </c>
      <c r="AV45" s="5">
        <v>-6.4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</row>
    <row r="46" spans="2:61" x14ac:dyDescent="0.3">
      <c r="B46" t="s">
        <v>90</v>
      </c>
      <c r="AS46" s="5">
        <v>10.3</v>
      </c>
      <c r="AT46" s="5">
        <v>-3.5</v>
      </c>
      <c r="AU46" s="5">
        <v>-7.5</v>
      </c>
      <c r="AV46" s="5">
        <v>25.4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</row>
    <row r="47" spans="2:61" x14ac:dyDescent="0.3">
      <c r="B47" t="s">
        <v>91</v>
      </c>
      <c r="AS47" s="5">
        <v>19.600000000000001</v>
      </c>
      <c r="AT47" s="5">
        <v>8.6999999999999993</v>
      </c>
      <c r="AU47" s="5">
        <v>-2.7</v>
      </c>
      <c r="AV47" s="5">
        <v>83.9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</row>
    <row r="48" spans="2:61" x14ac:dyDescent="0.3">
      <c r="B48" t="s">
        <v>92</v>
      </c>
      <c r="AS48" s="5">
        <v>67.8</v>
      </c>
      <c r="AT48" s="5">
        <v>83.2</v>
      </c>
      <c r="AU48" s="5">
        <v>24.7</v>
      </c>
      <c r="AV48" s="5">
        <v>156.4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</row>
    <row r="49" spans="2:150" x14ac:dyDescent="0.3">
      <c r="B49" t="s">
        <v>88</v>
      </c>
      <c r="AS49" s="5">
        <v>662.4</v>
      </c>
      <c r="AT49" s="5">
        <v>742.3</v>
      </c>
      <c r="AU49" s="5">
        <v>795.4</v>
      </c>
      <c r="AV49" s="5">
        <v>1935.3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</row>
    <row r="50" spans="2:150" x14ac:dyDescent="0.3">
      <c r="B50" t="s">
        <v>83</v>
      </c>
      <c r="AS50" s="5">
        <v>-47.9</v>
      </c>
      <c r="AT50" s="5">
        <v>-50.5</v>
      </c>
      <c r="AU50" s="5">
        <v>-77.400000000000006</v>
      </c>
      <c r="AV50" s="5">
        <v>-111.8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</row>
    <row r="51" spans="2:150" x14ac:dyDescent="0.3">
      <c r="B51" t="s">
        <v>93</v>
      </c>
      <c r="AS51" s="5">
        <v>10.199999999999999</v>
      </c>
      <c r="AT51" s="5">
        <v>11.4</v>
      </c>
      <c r="AU51" s="5">
        <v>31.2</v>
      </c>
      <c r="AV51" s="5">
        <v>27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</row>
    <row r="52" spans="2:150" s="1" customFormat="1" x14ac:dyDescent="0.3">
      <c r="B52" s="1" t="s">
        <v>94</v>
      </c>
      <c r="AS52" s="9">
        <f>AS35+SUM(AS36:AS51)</f>
        <v>378.99999999999943</v>
      </c>
      <c r="AT52" s="9">
        <f>AT35+SUM(AT36:AT51)</f>
        <v>465.10000000000036</v>
      </c>
      <c r="AU52" s="9">
        <f>AU35+SUM(AU36:AU51)</f>
        <v>827.9</v>
      </c>
      <c r="AV52" s="9">
        <f>AV35+SUM(AV36:AV51)</f>
        <v>1802.4999999999993</v>
      </c>
      <c r="AW52" s="9">
        <f t="shared" ref="AW52:BF52" si="204">AW35+SUM(AW36:AW51)</f>
        <v>1198.6221050000004</v>
      </c>
      <c r="AX52" s="9">
        <f t="shared" si="204"/>
        <v>1757.6018775000002</v>
      </c>
      <c r="AY52" s="9">
        <f t="shared" si="204"/>
        <v>2137.2588641819989</v>
      </c>
      <c r="AZ52" s="9">
        <f t="shared" si="204"/>
        <v>2422.8562753098608</v>
      </c>
      <c r="BA52" s="9">
        <f t="shared" si="204"/>
        <v>2668.8198332407869</v>
      </c>
      <c r="BB52" s="9">
        <f t="shared" si="204"/>
        <v>2778.2224637868067</v>
      </c>
      <c r="BC52" s="9">
        <f t="shared" si="204"/>
        <v>2900.3636684864177</v>
      </c>
      <c r="BD52" s="9">
        <f t="shared" si="204"/>
        <v>3019.1832051187571</v>
      </c>
      <c r="BE52" s="9">
        <f t="shared" si="204"/>
        <v>3177.5617559524571</v>
      </c>
      <c r="BF52" s="9">
        <f t="shared" si="204"/>
        <v>3371.0731493974527</v>
      </c>
    </row>
    <row r="53" spans="2:150" x14ac:dyDescent="0.3">
      <c r="B53" t="s">
        <v>95</v>
      </c>
      <c r="AS53" s="5">
        <v>426.2</v>
      </c>
      <c r="AT53" s="5">
        <v>320.7</v>
      </c>
      <c r="AU53" s="5">
        <f>179.6</f>
        <v>179.6</v>
      </c>
      <c r="AV53" s="5">
        <v>441</v>
      </c>
      <c r="AW53" s="5">
        <f t="shared" ref="AW53:BF53" si="205">AV53*1.1</f>
        <v>485.1</v>
      </c>
      <c r="AX53" s="5">
        <f>AW53*1.05</f>
        <v>509.35500000000002</v>
      </c>
      <c r="AY53" s="5">
        <f>AX53*1.04</f>
        <v>529.72919999999999</v>
      </c>
      <c r="AZ53" s="5">
        <f>AY53*1.03</f>
        <v>545.62107600000002</v>
      </c>
      <c r="BA53" s="5">
        <f t="shared" ref="BA53:BF53" si="206">AZ53*1.03</f>
        <v>561.98970828000006</v>
      </c>
      <c r="BB53" s="5">
        <f t="shared" si="206"/>
        <v>578.84939952840011</v>
      </c>
      <c r="BC53" s="5">
        <f t="shared" si="206"/>
        <v>596.21488151425217</v>
      </c>
      <c r="BD53" s="5">
        <f t="shared" si="206"/>
        <v>614.10132795967979</v>
      </c>
      <c r="BE53" s="5">
        <f t="shared" si="206"/>
        <v>632.52436779847017</v>
      </c>
      <c r="BF53" s="5">
        <f t="shared" si="206"/>
        <v>651.50009883242433</v>
      </c>
    </row>
    <row r="54" spans="2:150" s="1" customFormat="1" x14ac:dyDescent="0.3">
      <c r="B54" s="1" t="s">
        <v>96</v>
      </c>
      <c r="AS54" s="9">
        <f>AS52-AS53</f>
        <v>-47.200000000000557</v>
      </c>
      <c r="AT54" s="9">
        <f>AT52-AT53</f>
        <v>144.40000000000038</v>
      </c>
      <c r="AU54" s="9">
        <f>AU52-AU53</f>
        <v>648.29999999999995</v>
      </c>
      <c r="AV54" s="9">
        <f>AV52-AV53</f>
        <v>1361.4999999999993</v>
      </c>
      <c r="AW54" s="9">
        <f t="shared" ref="AW54:BF54" si="207">AW52-AW53</f>
        <v>713.52210500000035</v>
      </c>
      <c r="AX54" s="9">
        <f t="shared" si="207"/>
        <v>1248.2468775000002</v>
      </c>
      <c r="AY54" s="9">
        <f t="shared" si="207"/>
        <v>1607.5296641819989</v>
      </c>
      <c r="AZ54" s="9">
        <f t="shared" si="207"/>
        <v>1877.2351993098609</v>
      </c>
      <c r="BA54" s="9">
        <f t="shared" si="207"/>
        <v>2106.8301249607866</v>
      </c>
      <c r="BB54" s="9">
        <f t="shared" si="207"/>
        <v>2199.3730642584064</v>
      </c>
      <c r="BC54" s="9">
        <f t="shared" si="207"/>
        <v>2304.1487869721655</v>
      </c>
      <c r="BD54" s="9">
        <f t="shared" si="207"/>
        <v>2405.0818771590775</v>
      </c>
      <c r="BE54" s="9">
        <f t="shared" si="207"/>
        <v>2545.0373881539872</v>
      </c>
      <c r="BF54" s="9">
        <f t="shared" si="207"/>
        <v>2719.5730505650281</v>
      </c>
      <c r="BG54" s="1">
        <f>BF54*(1+$BI$26)</f>
        <v>2692.3773200593778</v>
      </c>
      <c r="BH54" s="1">
        <f t="shared" ref="BH54:DS54" si="208">BG54*(1+$BI$26)</f>
        <v>2665.4535468587842</v>
      </c>
      <c r="BI54" s="1">
        <f t="shared" si="208"/>
        <v>2638.7990113901965</v>
      </c>
      <c r="BJ54" s="1">
        <f t="shared" si="208"/>
        <v>2612.4110212762944</v>
      </c>
      <c r="BK54" s="1">
        <f t="shared" si="208"/>
        <v>2586.2869110635315</v>
      </c>
      <c r="BL54" s="1">
        <f t="shared" si="208"/>
        <v>2560.424041952896</v>
      </c>
      <c r="BM54" s="1">
        <f t="shared" si="208"/>
        <v>2534.8198015333669</v>
      </c>
      <c r="BN54" s="1">
        <f t="shared" si="208"/>
        <v>2509.4716035180331</v>
      </c>
      <c r="BO54" s="1">
        <f t="shared" si="208"/>
        <v>2484.3768874828529</v>
      </c>
      <c r="BP54" s="1">
        <f t="shared" si="208"/>
        <v>2459.5331186080243</v>
      </c>
      <c r="BQ54" s="1">
        <f t="shared" si="208"/>
        <v>2434.937787421944</v>
      </c>
      <c r="BR54" s="1">
        <f t="shared" si="208"/>
        <v>2410.5884095477245</v>
      </c>
      <c r="BS54" s="1">
        <f t="shared" si="208"/>
        <v>2386.482525452247</v>
      </c>
      <c r="BT54" s="1">
        <f t="shared" si="208"/>
        <v>2362.6177001977244</v>
      </c>
      <c r="BU54" s="1">
        <f t="shared" si="208"/>
        <v>2338.991523195747</v>
      </c>
      <c r="BV54" s="1">
        <f t="shared" si="208"/>
        <v>2315.6016079637898</v>
      </c>
      <c r="BW54" s="1">
        <f t="shared" si="208"/>
        <v>2292.4455918841518</v>
      </c>
      <c r="BX54" s="1">
        <f t="shared" si="208"/>
        <v>2269.5211359653104</v>
      </c>
      <c r="BY54" s="1">
        <f t="shared" si="208"/>
        <v>2246.8259246056573</v>
      </c>
      <c r="BZ54" s="1">
        <f t="shared" si="208"/>
        <v>2224.3576653596006</v>
      </c>
      <c r="CA54" s="1">
        <f t="shared" si="208"/>
        <v>2202.1140887060046</v>
      </c>
      <c r="CB54" s="1">
        <f t="shared" si="208"/>
        <v>2180.0929478189446</v>
      </c>
      <c r="CC54" s="1">
        <f t="shared" si="208"/>
        <v>2158.292018340755</v>
      </c>
      <c r="CD54" s="1">
        <f t="shared" si="208"/>
        <v>2136.7090981573474</v>
      </c>
      <c r="CE54" s="1">
        <f t="shared" si="208"/>
        <v>2115.3420071757737</v>
      </c>
      <c r="CF54" s="1">
        <f t="shared" si="208"/>
        <v>2094.1885871040158</v>
      </c>
      <c r="CG54" s="1">
        <f t="shared" si="208"/>
        <v>2073.2467012329757</v>
      </c>
      <c r="CH54" s="1">
        <f t="shared" si="208"/>
        <v>2052.5142342206459</v>
      </c>
      <c r="CI54" s="1">
        <f t="shared" si="208"/>
        <v>2031.9890918784395</v>
      </c>
      <c r="CJ54" s="1">
        <f t="shared" si="208"/>
        <v>2011.669200959655</v>
      </c>
      <c r="CK54" s="1">
        <f t="shared" si="208"/>
        <v>1991.5525089500584</v>
      </c>
      <c r="CL54" s="1">
        <f t="shared" si="208"/>
        <v>1971.6369838605578</v>
      </c>
      <c r="CM54" s="1">
        <f t="shared" si="208"/>
        <v>1951.9206140219524</v>
      </c>
      <c r="CN54" s="1">
        <f t="shared" si="208"/>
        <v>1932.4014078817329</v>
      </c>
      <c r="CO54" s="1">
        <f t="shared" si="208"/>
        <v>1913.0773938029156</v>
      </c>
      <c r="CP54" s="1">
        <f t="shared" si="208"/>
        <v>1893.9466198648863</v>
      </c>
      <c r="CQ54" s="1">
        <f t="shared" si="208"/>
        <v>1875.0071536662374</v>
      </c>
      <c r="CR54" s="1">
        <f t="shared" si="208"/>
        <v>1856.2570821295751</v>
      </c>
      <c r="CS54" s="1">
        <f t="shared" si="208"/>
        <v>1837.6945113082793</v>
      </c>
      <c r="CT54" s="1">
        <f t="shared" si="208"/>
        <v>1819.3175661951964</v>
      </c>
      <c r="CU54" s="1">
        <f t="shared" si="208"/>
        <v>1801.1243905332444</v>
      </c>
      <c r="CV54" s="1">
        <f t="shared" si="208"/>
        <v>1783.1131466279119</v>
      </c>
      <c r="CW54" s="1">
        <f t="shared" si="208"/>
        <v>1765.2820151616327</v>
      </c>
      <c r="CX54" s="1">
        <f t="shared" si="208"/>
        <v>1747.6291950100162</v>
      </c>
      <c r="CY54" s="1">
        <f t="shared" si="208"/>
        <v>1730.1529030599161</v>
      </c>
      <c r="CZ54" s="1">
        <f t="shared" si="208"/>
        <v>1712.851374029317</v>
      </c>
      <c r="DA54" s="1">
        <f t="shared" si="208"/>
        <v>1695.7228602890239</v>
      </c>
      <c r="DB54" s="1">
        <f t="shared" si="208"/>
        <v>1678.7656316861337</v>
      </c>
      <c r="DC54" s="1">
        <f t="shared" si="208"/>
        <v>1661.9779753692724</v>
      </c>
      <c r="DD54" s="1">
        <f t="shared" si="208"/>
        <v>1645.3581956155797</v>
      </c>
      <c r="DE54" s="1">
        <f t="shared" si="208"/>
        <v>1628.9046136594238</v>
      </c>
      <c r="DF54" s="1">
        <f t="shared" si="208"/>
        <v>1612.6155675228297</v>
      </c>
      <c r="DG54" s="1">
        <f t="shared" si="208"/>
        <v>1596.4894118476013</v>
      </c>
      <c r="DH54" s="1">
        <f t="shared" si="208"/>
        <v>1580.5245177291254</v>
      </c>
      <c r="DI54" s="1">
        <f t="shared" si="208"/>
        <v>1564.7192725518341</v>
      </c>
      <c r="DJ54" s="1">
        <f t="shared" si="208"/>
        <v>1549.0720798263158</v>
      </c>
      <c r="DK54" s="1">
        <f t="shared" si="208"/>
        <v>1533.5813590280525</v>
      </c>
      <c r="DL54" s="1">
        <f t="shared" si="208"/>
        <v>1518.2455454377719</v>
      </c>
      <c r="DM54" s="1">
        <f t="shared" si="208"/>
        <v>1503.0630899833941</v>
      </c>
      <c r="DN54" s="1">
        <f t="shared" si="208"/>
        <v>1488.0324590835601</v>
      </c>
      <c r="DO54" s="1">
        <f t="shared" si="208"/>
        <v>1473.1521344927244</v>
      </c>
      <c r="DP54" s="1">
        <f t="shared" si="208"/>
        <v>1458.4206131477972</v>
      </c>
      <c r="DQ54" s="1">
        <f t="shared" si="208"/>
        <v>1443.8364070163193</v>
      </c>
      <c r="DR54" s="1">
        <f t="shared" si="208"/>
        <v>1429.398042946156</v>
      </c>
      <c r="DS54" s="1">
        <f t="shared" si="208"/>
        <v>1415.1040625166945</v>
      </c>
      <c r="DT54" s="1">
        <f t="shared" ref="DT54:ET54" si="209">DS54*(1+$BI$26)</f>
        <v>1400.9530218915274</v>
      </c>
      <c r="DU54" s="1">
        <f t="shared" si="209"/>
        <v>1386.9434916726123</v>
      </c>
      <c r="DV54" s="1">
        <f t="shared" si="209"/>
        <v>1373.0740567558862</v>
      </c>
      <c r="DW54" s="1">
        <f t="shared" si="209"/>
        <v>1359.3433161883274</v>
      </c>
      <c r="DX54" s="1">
        <f t="shared" si="209"/>
        <v>1345.7498830264442</v>
      </c>
      <c r="DY54" s="1">
        <f t="shared" si="209"/>
        <v>1332.2923841961797</v>
      </c>
      <c r="DZ54" s="1">
        <f t="shared" si="209"/>
        <v>1318.969460354218</v>
      </c>
      <c r="EA54" s="1">
        <f t="shared" si="209"/>
        <v>1305.7797657506758</v>
      </c>
      <c r="EB54" s="1">
        <f t="shared" si="209"/>
        <v>1292.7219680931689</v>
      </c>
      <c r="EC54" s="1">
        <f t="shared" si="209"/>
        <v>1279.7947484122371</v>
      </c>
      <c r="ED54" s="1">
        <f t="shared" si="209"/>
        <v>1266.9968009281147</v>
      </c>
      <c r="EE54" s="1">
        <f t="shared" si="209"/>
        <v>1254.3268329188336</v>
      </c>
      <c r="EF54" s="1">
        <f t="shared" si="209"/>
        <v>1241.7835645896453</v>
      </c>
      <c r="EG54" s="1">
        <f t="shared" si="209"/>
        <v>1229.3657289437488</v>
      </c>
      <c r="EH54" s="1">
        <f t="shared" si="209"/>
        <v>1217.0720716543112</v>
      </c>
      <c r="EI54" s="1">
        <f t="shared" si="209"/>
        <v>1204.901350937768</v>
      </c>
      <c r="EJ54" s="1">
        <f t="shared" si="209"/>
        <v>1192.8523374283902</v>
      </c>
      <c r="EK54" s="1">
        <f t="shared" si="209"/>
        <v>1180.9238140541063</v>
      </c>
      <c r="EL54" s="1">
        <f t="shared" si="209"/>
        <v>1169.1145759135652</v>
      </c>
      <c r="EM54" s="1">
        <f t="shared" si="209"/>
        <v>1157.4234301544295</v>
      </c>
      <c r="EN54" s="1">
        <f t="shared" si="209"/>
        <v>1145.8491958528853</v>
      </c>
      <c r="EO54" s="1">
        <f t="shared" si="209"/>
        <v>1134.3907038943564</v>
      </c>
      <c r="EP54" s="1">
        <f t="shared" si="209"/>
        <v>1123.0467968554128</v>
      </c>
      <c r="EQ54" s="1">
        <f t="shared" si="209"/>
        <v>1111.8163288868586</v>
      </c>
      <c r="ER54" s="1">
        <f t="shared" si="209"/>
        <v>1100.6981655979901</v>
      </c>
      <c r="ES54" s="1">
        <f t="shared" si="209"/>
        <v>1089.6911839420102</v>
      </c>
      <c r="ET54" s="1">
        <f t="shared" si="209"/>
        <v>1078.7942721025902</v>
      </c>
    </row>
    <row r="56" spans="2:150" x14ac:dyDescent="0.3">
      <c r="BI56" s="5">
        <f>NPV(BI27,AW54:ET54)</f>
        <v>26235.252474373709</v>
      </c>
    </row>
    <row r="57" spans="2:150" x14ac:dyDescent="0.3">
      <c r="BI57" s="5">
        <f>Main!D8</f>
        <v>4554.5999999999995</v>
      </c>
    </row>
    <row r="58" spans="2:150" x14ac:dyDescent="0.3">
      <c r="BI58" s="5">
        <f>BI56+BI57</f>
        <v>30789.852474373707</v>
      </c>
    </row>
    <row r="59" spans="2:150" x14ac:dyDescent="0.3">
      <c r="BI59" s="4">
        <f>BI58/BF20</f>
        <v>43.685942784298682</v>
      </c>
    </row>
    <row r="60" spans="2:150" x14ac:dyDescent="0.3">
      <c r="BI60" s="4">
        <f>Main!D3</f>
        <v>69.8</v>
      </c>
    </row>
    <row r="61" spans="2:150" x14ac:dyDescent="0.3">
      <c r="BI61" s="10">
        <f>BI59/BI60-1</f>
        <v>-0.37412689420775525</v>
      </c>
    </row>
    <row r="62" spans="2:150" x14ac:dyDescent="0.3">
      <c r="BI62" s="6" t="s">
        <v>98</v>
      </c>
    </row>
  </sheetData>
  <phoneticPr fontId="3" type="noConversion"/>
  <pageMargins left="0.7" right="0.7" top="0.75" bottom="0.75" header="0.3" footer="0.3"/>
  <pageSetup paperSize="9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2020-12-02T21:54:13Z</dcterms:created>
  <dcterms:modified xsi:type="dcterms:W3CDTF">2026-02-06T11:10:28Z</dcterms:modified>
</cp:coreProperties>
</file>