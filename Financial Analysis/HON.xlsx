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96619D6-471E-40F6-B61D-8A31882A334C}" xr6:coauthVersionLast="47" xr6:coauthVersionMax="47" xr10:uidLastSave="{00000000-0000-0000-0000-000000000000}"/>
  <bookViews>
    <workbookView xWindow="-108" yWindow="-108" windowWidth="23256" windowHeight="12576" activeTab="1" xr2:uid="{F30574C2-14C5-4405-B92F-D72ACFF190E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3" i="2" l="1"/>
  <c r="AC3" i="2"/>
  <c r="AB3" i="2"/>
  <c r="AA3" i="2"/>
  <c r="AE4" i="2"/>
  <c r="AD4" i="2"/>
  <c r="AC4" i="2"/>
  <c r="AB4" i="2"/>
  <c r="AA4" i="2"/>
  <c r="AB10" i="2"/>
  <c r="AA10" i="2"/>
  <c r="AB11" i="2"/>
  <c r="AA11" i="2"/>
  <c r="Z20" i="2"/>
  <c r="Z19" i="2"/>
  <c r="Z16" i="2"/>
  <c r="Z15" i="2"/>
  <c r="Z17" i="2" s="1"/>
  <c r="Z12" i="2"/>
  <c r="Z11" i="2"/>
  <c r="Z10" i="2"/>
  <c r="Z7" i="2"/>
  <c r="Z6" i="2"/>
  <c r="Z4" i="2"/>
  <c r="Z3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2" i="2"/>
  <c r="R16" i="2"/>
  <c r="R15" i="2"/>
  <c r="R17" i="2" s="1"/>
  <c r="R13" i="2"/>
  <c r="R14" i="2" s="1"/>
  <c r="R18" i="2" s="1"/>
  <c r="Q22" i="2"/>
  <c r="Q21" i="2"/>
  <c r="Q23" i="2" s="1"/>
  <c r="Q19" i="2"/>
  <c r="Q17" i="2"/>
  <c r="Q18" i="2" s="1"/>
  <c r="Q16" i="2"/>
  <c r="Q15" i="2"/>
  <c r="Q13" i="2"/>
  <c r="Q14" i="2" s="1"/>
  <c r="R11" i="2"/>
  <c r="Q11" i="2"/>
  <c r="R10" i="2"/>
  <c r="Q10" i="2"/>
  <c r="R7" i="2"/>
  <c r="R8" i="2" s="1"/>
  <c r="R9" i="2" s="1"/>
  <c r="Q7" i="2"/>
  <c r="Q8" i="2" s="1"/>
  <c r="Q9" i="2" s="1"/>
  <c r="R6" i="2"/>
  <c r="Q6" i="2"/>
  <c r="R5" i="2"/>
  <c r="Q5" i="2"/>
  <c r="Q4" i="2"/>
  <c r="R4" i="2"/>
  <c r="R3" i="2"/>
  <c r="Q3" i="2"/>
  <c r="G32" i="2"/>
  <c r="G31" i="2"/>
  <c r="P32" i="2"/>
  <c r="O32" i="2"/>
  <c r="N32" i="2"/>
  <c r="M32" i="2"/>
  <c r="L32" i="2"/>
  <c r="K32" i="2"/>
  <c r="H32" i="2"/>
  <c r="O31" i="2"/>
  <c r="N31" i="2"/>
  <c r="M31" i="2"/>
  <c r="L31" i="2"/>
  <c r="K31" i="2"/>
  <c r="H31" i="2"/>
  <c r="C35" i="2"/>
  <c r="C34" i="2"/>
  <c r="C33" i="2"/>
  <c r="C30" i="2"/>
  <c r="C29" i="2"/>
  <c r="C28" i="2"/>
  <c r="D35" i="2"/>
  <c r="D34" i="2"/>
  <c r="D33" i="2"/>
  <c r="D30" i="2"/>
  <c r="D29" i="2"/>
  <c r="D28" i="2"/>
  <c r="J35" i="2"/>
  <c r="J34" i="2"/>
  <c r="J33" i="2"/>
  <c r="J30" i="2"/>
  <c r="J29" i="2"/>
  <c r="J28" i="2"/>
  <c r="J20" i="2"/>
  <c r="J19" i="2"/>
  <c r="J16" i="2"/>
  <c r="J15" i="2"/>
  <c r="J12" i="2"/>
  <c r="J11" i="2"/>
  <c r="J10" i="2"/>
  <c r="J7" i="2"/>
  <c r="J6" i="2"/>
  <c r="J4" i="2"/>
  <c r="J3" i="2"/>
  <c r="J22" i="2"/>
  <c r="J17" i="2"/>
  <c r="J13" i="2"/>
  <c r="J8" i="2"/>
  <c r="G35" i="2"/>
  <c r="G34" i="2"/>
  <c r="G33" i="2"/>
  <c r="G30" i="2"/>
  <c r="G29" i="2"/>
  <c r="G28" i="2"/>
  <c r="G27" i="2"/>
  <c r="G26" i="2"/>
  <c r="G25" i="2"/>
  <c r="H35" i="2"/>
  <c r="H34" i="2"/>
  <c r="H33" i="2"/>
  <c r="H30" i="2"/>
  <c r="H29" i="2"/>
  <c r="H28" i="2"/>
  <c r="H27" i="2"/>
  <c r="H26" i="2"/>
  <c r="H25" i="2"/>
  <c r="C14" i="2"/>
  <c r="C22" i="2"/>
  <c r="C17" i="2"/>
  <c r="C13" i="2"/>
  <c r="C8" i="2"/>
  <c r="C5" i="2"/>
  <c r="G22" i="2"/>
  <c r="G17" i="2"/>
  <c r="G13" i="2"/>
  <c r="G8" i="2"/>
  <c r="G5" i="2"/>
  <c r="D22" i="2"/>
  <c r="D17" i="2"/>
  <c r="D13" i="2"/>
  <c r="D8" i="2"/>
  <c r="D5" i="2"/>
  <c r="H22" i="2"/>
  <c r="H17" i="2"/>
  <c r="H13" i="2"/>
  <c r="H8" i="2"/>
  <c r="H5" i="2"/>
  <c r="L27" i="2"/>
  <c r="L26" i="2"/>
  <c r="K26" i="2"/>
  <c r="L25" i="2"/>
  <c r="K25" i="2"/>
  <c r="R19" i="2" l="1"/>
  <c r="R21" i="2" s="1"/>
  <c r="R23" i="2" s="1"/>
  <c r="J5" i="2"/>
  <c r="J9" i="2" s="1"/>
  <c r="J14" i="2" s="1"/>
  <c r="J18" i="2" s="1"/>
  <c r="J21" i="2" s="1"/>
  <c r="J23" i="2" s="1"/>
  <c r="C9" i="2"/>
  <c r="C18" i="2" s="1"/>
  <c r="C21" i="2" s="1"/>
  <c r="C23" i="2" s="1"/>
  <c r="G9" i="2"/>
  <c r="G14" i="2" s="1"/>
  <c r="G18" i="2" s="1"/>
  <c r="G21" i="2" s="1"/>
  <c r="G23" i="2" s="1"/>
  <c r="K27" i="2"/>
  <c r="D9" i="2"/>
  <c r="D14" i="2" s="1"/>
  <c r="D18" i="2" s="1"/>
  <c r="D21" i="2" s="1"/>
  <c r="D23" i="2" s="1"/>
  <c r="H9" i="2"/>
  <c r="H14" i="2" s="1"/>
  <c r="H18" i="2" s="1"/>
  <c r="H21" i="2" s="1"/>
  <c r="H23" i="2" s="1"/>
  <c r="I29" i="2"/>
  <c r="I28" i="2"/>
  <c r="M29" i="2"/>
  <c r="M28" i="2"/>
  <c r="M26" i="2"/>
  <c r="M25" i="2"/>
  <c r="N20" i="2"/>
  <c r="N19" i="2"/>
  <c r="N16" i="2"/>
  <c r="N15" i="2"/>
  <c r="N12" i="2"/>
  <c r="N11" i="2"/>
  <c r="N10" i="2"/>
  <c r="N7" i="2"/>
  <c r="N6" i="2"/>
  <c r="N8" i="2" s="1"/>
  <c r="N4" i="2"/>
  <c r="N29" i="2" s="1"/>
  <c r="N3" i="2"/>
  <c r="N22" i="2"/>
  <c r="I22" i="2"/>
  <c r="I17" i="2"/>
  <c r="I13" i="2"/>
  <c r="I8" i="2"/>
  <c r="I5" i="2"/>
  <c r="M22" i="2"/>
  <c r="M17" i="2"/>
  <c r="M13" i="2"/>
  <c r="M8" i="2"/>
  <c r="M5" i="2"/>
  <c r="K29" i="2"/>
  <c r="K28" i="2"/>
  <c r="O29" i="2"/>
  <c r="O28" i="2"/>
  <c r="O26" i="2"/>
  <c r="O25" i="2"/>
  <c r="K22" i="2"/>
  <c r="K17" i="2"/>
  <c r="K13" i="2"/>
  <c r="K8" i="2"/>
  <c r="K5" i="2"/>
  <c r="O22" i="2"/>
  <c r="O17" i="2"/>
  <c r="O13" i="2"/>
  <c r="O8" i="2"/>
  <c r="O5" i="2"/>
  <c r="AM32" i="2"/>
  <c r="Z31" i="2"/>
  <c r="Z29" i="2"/>
  <c r="Z25" i="2"/>
  <c r="P31" i="2"/>
  <c r="P26" i="2"/>
  <c r="P25" i="2"/>
  <c r="L29" i="2"/>
  <c r="L28" i="2"/>
  <c r="L22" i="2"/>
  <c r="L17" i="2"/>
  <c r="L13" i="2"/>
  <c r="L8" i="2"/>
  <c r="L5" i="2"/>
  <c r="AJ22" i="2"/>
  <c r="AI22" i="2"/>
  <c r="AH22" i="2"/>
  <c r="AG22" i="2"/>
  <c r="AF22" i="2"/>
  <c r="AE22" i="2"/>
  <c r="AD22" i="2"/>
  <c r="AC22" i="2"/>
  <c r="AB22" i="2"/>
  <c r="AA22" i="2"/>
  <c r="Z22" i="2"/>
  <c r="P22" i="2"/>
  <c r="P29" i="2"/>
  <c r="P28" i="2"/>
  <c r="P17" i="2"/>
  <c r="P13" i="2"/>
  <c r="P8" i="2"/>
  <c r="P5" i="2"/>
  <c r="D7" i="1"/>
  <c r="D6" i="1"/>
  <c r="D4" i="1"/>
  <c r="AA15" i="2"/>
  <c r="W32" i="2"/>
  <c r="V32" i="2"/>
  <c r="U32" i="2"/>
  <c r="X32" i="2"/>
  <c r="X31" i="2"/>
  <c r="X29" i="2"/>
  <c r="W29" i="2"/>
  <c r="V29" i="2"/>
  <c r="U29" i="2"/>
  <c r="T29" i="2"/>
  <c r="X28" i="2"/>
  <c r="W28" i="2"/>
  <c r="V28" i="2"/>
  <c r="U28" i="2"/>
  <c r="T28" i="2"/>
  <c r="X26" i="2"/>
  <c r="W26" i="2"/>
  <c r="V26" i="2"/>
  <c r="U26" i="2"/>
  <c r="X25" i="2"/>
  <c r="W25" i="2"/>
  <c r="V25" i="2"/>
  <c r="U25" i="2"/>
  <c r="Y32" i="2"/>
  <c r="Y31" i="2"/>
  <c r="Y29" i="2"/>
  <c r="Y28" i="2"/>
  <c r="Y26" i="2"/>
  <c r="Y25" i="2"/>
  <c r="N28" i="2" l="1"/>
  <c r="N26" i="2"/>
  <c r="N25" i="2"/>
  <c r="M27" i="2"/>
  <c r="N17" i="2"/>
  <c r="N13" i="2"/>
  <c r="P27" i="2"/>
  <c r="N5" i="2"/>
  <c r="I9" i="2"/>
  <c r="M9" i="2"/>
  <c r="AE3" i="2"/>
  <c r="AA7" i="2"/>
  <c r="AA29" i="2" s="1"/>
  <c r="O27" i="2"/>
  <c r="Z13" i="2"/>
  <c r="AA16" i="2"/>
  <c r="AB16" i="2" s="1"/>
  <c r="AC16" i="2" s="1"/>
  <c r="AD16" i="2" s="1"/>
  <c r="AE16" i="2" s="1"/>
  <c r="AF16" i="2" s="1"/>
  <c r="AG16" i="2" s="1"/>
  <c r="AH16" i="2" s="1"/>
  <c r="AI16" i="2" s="1"/>
  <c r="AJ16" i="2" s="1"/>
  <c r="Z26" i="2"/>
  <c r="AC10" i="2"/>
  <c r="AD10" i="2" s="1"/>
  <c r="AE10" i="2" s="1"/>
  <c r="AF10" i="2" s="1"/>
  <c r="AG10" i="2" s="1"/>
  <c r="AH10" i="2" s="1"/>
  <c r="AI10" i="2" s="1"/>
  <c r="AJ10" i="2" s="1"/>
  <c r="AF4" i="2"/>
  <c r="AG4" i="2" s="1"/>
  <c r="AH4" i="2" s="1"/>
  <c r="AI4" i="2" s="1"/>
  <c r="AJ4" i="2" s="1"/>
  <c r="Z32" i="2"/>
  <c r="K9" i="2"/>
  <c r="O9" i="2"/>
  <c r="Z5" i="2"/>
  <c r="Z8" i="2"/>
  <c r="L9" i="2"/>
  <c r="P9" i="2"/>
  <c r="AB15" i="2"/>
  <c r="T22" i="2"/>
  <c r="T17" i="2"/>
  <c r="T13" i="2"/>
  <c r="T8" i="2"/>
  <c r="T5" i="2"/>
  <c r="U22" i="2"/>
  <c r="U17" i="2"/>
  <c r="U13" i="2"/>
  <c r="U8" i="2"/>
  <c r="U5" i="2"/>
  <c r="V22" i="2"/>
  <c r="V17" i="2"/>
  <c r="V13" i="2"/>
  <c r="V8" i="2"/>
  <c r="V5" i="2"/>
  <c r="W22" i="2"/>
  <c r="W17" i="2"/>
  <c r="W13" i="2"/>
  <c r="W8" i="2"/>
  <c r="W5" i="2"/>
  <c r="X22" i="2"/>
  <c r="X17" i="2"/>
  <c r="X13" i="2"/>
  <c r="X8" i="2"/>
  <c r="X5" i="2"/>
  <c r="Y22" i="2"/>
  <c r="Y17" i="2"/>
  <c r="Y13" i="2"/>
  <c r="Y8" i="2"/>
  <c r="Y5" i="2"/>
  <c r="D8" i="1"/>
  <c r="AM29" i="2" s="1"/>
  <c r="D5" i="1"/>
  <c r="F3" i="1"/>
  <c r="Z28" i="2" l="1"/>
  <c r="I14" i="2"/>
  <c r="I30" i="2"/>
  <c r="M14" i="2"/>
  <c r="M30" i="2"/>
  <c r="N9" i="2"/>
  <c r="N27" i="2"/>
  <c r="AA26" i="2"/>
  <c r="U27" i="2"/>
  <c r="X27" i="2"/>
  <c r="AB7" i="2"/>
  <c r="AB29" i="2" s="1"/>
  <c r="Z27" i="2"/>
  <c r="AA32" i="2"/>
  <c r="AB26" i="2"/>
  <c r="O14" i="2"/>
  <c r="O30" i="2"/>
  <c r="AA17" i="2"/>
  <c r="AA13" i="2"/>
  <c r="K14" i="2"/>
  <c r="K30" i="2"/>
  <c r="AA31" i="2"/>
  <c r="Z9" i="2"/>
  <c r="AA5" i="2"/>
  <c r="AA6" i="2"/>
  <c r="AA25" i="2"/>
  <c r="L14" i="2"/>
  <c r="L30" i="2"/>
  <c r="P14" i="2"/>
  <c r="P30" i="2"/>
  <c r="D9" i="1"/>
  <c r="AC26" i="2"/>
  <c r="AC7" i="2"/>
  <c r="AC29" i="2" s="1"/>
  <c r="AB17" i="2"/>
  <c r="AC15" i="2"/>
  <c r="AB31" i="2"/>
  <c r="Y9" i="2"/>
  <c r="Y30" i="2" s="1"/>
  <c r="Y27" i="2"/>
  <c r="V27" i="2"/>
  <c r="W27" i="2"/>
  <c r="T9" i="2"/>
  <c r="U9" i="2"/>
  <c r="V9" i="2"/>
  <c r="W9" i="2"/>
  <c r="X9" i="2"/>
  <c r="P42" i="2" l="1"/>
  <c r="P41" i="2"/>
  <c r="I18" i="2"/>
  <c r="I33" i="2"/>
  <c r="N14" i="2"/>
  <c r="N30" i="2"/>
  <c r="M18" i="2"/>
  <c r="M33" i="2"/>
  <c r="AC11" i="2"/>
  <c r="AC13" i="2" s="1"/>
  <c r="AB32" i="2"/>
  <c r="O18" i="2"/>
  <c r="O33" i="2"/>
  <c r="AB13" i="2"/>
  <c r="K18" i="2"/>
  <c r="K33" i="2"/>
  <c r="AB6" i="2"/>
  <c r="AB8" i="2" s="1"/>
  <c r="AB25" i="2"/>
  <c r="AB5" i="2"/>
  <c r="AA28" i="2"/>
  <c r="AA8" i="2"/>
  <c r="AA9" i="2" s="1"/>
  <c r="AA27" i="2"/>
  <c r="Z30" i="2"/>
  <c r="Z14" i="2"/>
  <c r="L33" i="2"/>
  <c r="L18" i="2"/>
  <c r="P33" i="2"/>
  <c r="P18" i="2"/>
  <c r="AC17" i="2"/>
  <c r="AD15" i="2"/>
  <c r="AC31" i="2"/>
  <c r="AD7" i="2"/>
  <c r="AD29" i="2" s="1"/>
  <c r="AD26" i="2"/>
  <c r="T14" i="2"/>
  <c r="T18" i="2" s="1"/>
  <c r="T30" i="2"/>
  <c r="Y14" i="2"/>
  <c r="Y18" i="2" s="1"/>
  <c r="V14" i="2"/>
  <c r="V18" i="2" s="1"/>
  <c r="V30" i="2"/>
  <c r="W14" i="2"/>
  <c r="W33" i="2" s="1"/>
  <c r="W30" i="2"/>
  <c r="U14" i="2"/>
  <c r="U33" i="2" s="1"/>
  <c r="U30" i="2"/>
  <c r="X14" i="2"/>
  <c r="X33" i="2" s="1"/>
  <c r="X30" i="2"/>
  <c r="V33" i="2"/>
  <c r="I21" i="2" l="1"/>
  <c r="I34" i="2"/>
  <c r="M21" i="2"/>
  <c r="M34" i="2"/>
  <c r="N18" i="2"/>
  <c r="N33" i="2"/>
  <c r="X18" i="2"/>
  <c r="X21" i="2" s="1"/>
  <c r="Y33" i="2"/>
  <c r="AD11" i="2"/>
  <c r="AC32" i="2"/>
  <c r="W18" i="2"/>
  <c r="W34" i="2" s="1"/>
  <c r="K21" i="2"/>
  <c r="K34" i="2"/>
  <c r="O21" i="2"/>
  <c r="O34" i="2"/>
  <c r="AA30" i="2"/>
  <c r="AA14" i="2"/>
  <c r="AB9" i="2"/>
  <c r="AB27" i="2"/>
  <c r="AC5" i="2"/>
  <c r="AC27" i="2" s="1"/>
  <c r="AC25" i="2"/>
  <c r="AC6" i="2"/>
  <c r="Z33" i="2"/>
  <c r="Z18" i="2"/>
  <c r="AB28" i="2"/>
  <c r="L34" i="2"/>
  <c r="L21" i="2"/>
  <c r="P34" i="2"/>
  <c r="P21" i="2"/>
  <c r="AD17" i="2"/>
  <c r="AE15" i="2"/>
  <c r="AD31" i="2"/>
  <c r="AE26" i="2"/>
  <c r="AE7" i="2"/>
  <c r="AE29" i="2" s="1"/>
  <c r="T33" i="2"/>
  <c r="U18" i="2"/>
  <c r="U21" i="2" s="1"/>
  <c r="T21" i="2"/>
  <c r="T34" i="2"/>
  <c r="V21" i="2"/>
  <c r="V34" i="2"/>
  <c r="Y21" i="2"/>
  <c r="Y34" i="2"/>
  <c r="W21" i="2"/>
  <c r="N21" i="2" l="1"/>
  <c r="N34" i="2"/>
  <c r="I23" i="2"/>
  <c r="I35" i="2"/>
  <c r="M23" i="2"/>
  <c r="M35" i="2"/>
  <c r="X34" i="2"/>
  <c r="AE11" i="2"/>
  <c r="AE13" i="2" s="1"/>
  <c r="AD32" i="2"/>
  <c r="O23" i="2"/>
  <c r="O35" i="2"/>
  <c r="K23" i="2"/>
  <c r="K35" i="2"/>
  <c r="U34" i="2"/>
  <c r="AD13" i="2"/>
  <c r="AD25" i="2"/>
  <c r="AD6" i="2"/>
  <c r="AD5" i="2"/>
  <c r="AD27" i="2" s="1"/>
  <c r="AC28" i="2"/>
  <c r="AC8" i="2"/>
  <c r="AC9" i="2" s="1"/>
  <c r="AB30" i="2"/>
  <c r="AB14" i="2"/>
  <c r="Z34" i="2"/>
  <c r="AA33" i="2"/>
  <c r="AA18" i="2"/>
  <c r="AA19" i="2" s="1"/>
  <c r="AA34" i="2" s="1"/>
  <c r="L35" i="2"/>
  <c r="L23" i="2"/>
  <c r="P35" i="2"/>
  <c r="P23" i="2"/>
  <c r="AF15" i="2"/>
  <c r="AE17" i="2"/>
  <c r="AF7" i="2"/>
  <c r="AF29" i="2" s="1"/>
  <c r="AF26" i="2"/>
  <c r="AE31" i="2"/>
  <c r="T23" i="2"/>
  <c r="T35" i="2"/>
  <c r="V23" i="2"/>
  <c r="V35" i="2"/>
  <c r="U23" i="2"/>
  <c r="U35" i="2"/>
  <c r="X23" i="2"/>
  <c r="X35" i="2"/>
  <c r="Y23" i="2"/>
  <c r="Y35" i="2"/>
  <c r="W23" i="2"/>
  <c r="W35" i="2"/>
  <c r="N23" i="2" l="1"/>
  <c r="N35" i="2"/>
  <c r="AA21" i="2"/>
  <c r="AA23" i="2" s="1"/>
  <c r="AF11" i="2"/>
  <c r="AE32" i="2"/>
  <c r="AB18" i="2"/>
  <c r="AB33" i="2"/>
  <c r="AC30" i="2"/>
  <c r="AC14" i="2"/>
  <c r="AD28" i="2"/>
  <c r="AD8" i="2"/>
  <c r="AD9" i="2" s="1"/>
  <c r="Z21" i="2"/>
  <c r="AE25" i="2"/>
  <c r="AE6" i="2"/>
  <c r="AE5" i="2"/>
  <c r="AE27" i="2" s="1"/>
  <c r="AF3" i="2"/>
  <c r="AG15" i="2"/>
  <c r="AF17" i="2"/>
  <c r="AF31" i="2"/>
  <c r="AF13" i="2"/>
  <c r="AG26" i="2"/>
  <c r="AG7" i="2"/>
  <c r="AG29" i="2" s="1"/>
  <c r="AA35" i="2" l="1"/>
  <c r="AG11" i="2"/>
  <c r="AF32" i="2"/>
  <c r="Z35" i="2"/>
  <c r="Z23" i="2"/>
  <c r="AC33" i="2"/>
  <c r="AC18" i="2"/>
  <c r="AC19" i="2" s="1"/>
  <c r="AC34" i="2" s="1"/>
  <c r="AG3" i="2"/>
  <c r="AF5" i="2"/>
  <c r="AF27" i="2" s="1"/>
  <c r="AF6" i="2"/>
  <c r="AF25" i="2"/>
  <c r="AD14" i="2"/>
  <c r="AD30" i="2"/>
  <c r="AE8" i="2"/>
  <c r="AE9" i="2" s="1"/>
  <c r="AE28" i="2"/>
  <c r="AB19" i="2"/>
  <c r="AB34" i="2" s="1"/>
  <c r="AH15" i="2"/>
  <c r="AG17" i="2"/>
  <c r="AG13" i="2"/>
  <c r="AG31" i="2"/>
  <c r="AH26" i="2"/>
  <c r="AH7" i="2"/>
  <c r="AH29" i="2" s="1"/>
  <c r="AB21" i="2" l="1"/>
  <c r="AB23" i="2" s="1"/>
  <c r="AH11" i="2"/>
  <c r="AG32" i="2"/>
  <c r="AC21" i="2"/>
  <c r="AC35" i="2" s="1"/>
  <c r="AE30" i="2"/>
  <c r="AE14" i="2"/>
  <c r="AF28" i="2"/>
  <c r="AF8" i="2"/>
  <c r="AF9" i="2" s="1"/>
  <c r="AG5" i="2"/>
  <c r="AG27" i="2" s="1"/>
  <c r="AH3" i="2"/>
  <c r="AG25" i="2"/>
  <c r="AG6" i="2"/>
  <c r="AG8" i="2" s="1"/>
  <c r="AD33" i="2"/>
  <c r="AD18" i="2"/>
  <c r="AD19" i="2" s="1"/>
  <c r="AD34" i="2" s="1"/>
  <c r="AH17" i="2"/>
  <c r="AI15" i="2"/>
  <c r="AI26" i="2"/>
  <c r="AI7" i="2"/>
  <c r="AI29" i="2" s="1"/>
  <c r="AH31" i="2"/>
  <c r="AB35" i="2" l="1"/>
  <c r="AC23" i="2"/>
  <c r="AI11" i="2"/>
  <c r="AH32" i="2"/>
  <c r="AH13" i="2"/>
  <c r="AG28" i="2"/>
  <c r="AF30" i="2"/>
  <c r="AF14" i="2"/>
  <c r="AG9" i="2"/>
  <c r="AD21" i="2"/>
  <c r="AD35" i="2" s="1"/>
  <c r="AE33" i="2"/>
  <c r="AE18" i="2"/>
  <c r="AE19" i="2" s="1"/>
  <c r="AE34" i="2" s="1"/>
  <c r="AI3" i="2"/>
  <c r="AH6" i="2"/>
  <c r="AH8" i="2" s="1"/>
  <c r="AH5" i="2"/>
  <c r="AH27" i="2" s="1"/>
  <c r="AH25" i="2"/>
  <c r="AJ26" i="2"/>
  <c r="AJ7" i="2"/>
  <c r="AJ29" i="2" s="1"/>
  <c r="AI17" i="2"/>
  <c r="AJ15" i="2"/>
  <c r="AJ17" i="2" s="1"/>
  <c r="AI31" i="2"/>
  <c r="AJ11" i="2" l="1"/>
  <c r="AJ32" i="2" s="1"/>
  <c r="AI32" i="2"/>
  <c r="AI13" i="2"/>
  <c r="AD23" i="2"/>
  <c r="AE21" i="2"/>
  <c r="AE23" i="2" s="1"/>
  <c r="AH9" i="2"/>
  <c r="AH14" i="2" s="1"/>
  <c r="AH18" i="2" s="1"/>
  <c r="AH28" i="2"/>
  <c r="AH30" i="2"/>
  <c r="AI5" i="2"/>
  <c r="AI27" i="2" s="1"/>
  <c r="AJ3" i="2"/>
  <c r="AI6" i="2"/>
  <c r="AI25" i="2"/>
  <c r="AG30" i="2"/>
  <c r="AG14" i="2"/>
  <c r="AF33" i="2"/>
  <c r="AF18" i="2"/>
  <c r="AF19" i="2" s="1"/>
  <c r="AF34" i="2" s="1"/>
  <c r="AJ13" i="2"/>
  <c r="AJ31" i="2"/>
  <c r="AH33" i="2" l="1"/>
  <c r="AE35" i="2"/>
  <c r="AF21" i="2"/>
  <c r="AF35" i="2" s="1"/>
  <c r="AI8" i="2"/>
  <c r="AI9" i="2" s="1"/>
  <c r="AI28" i="2"/>
  <c r="AJ25" i="2"/>
  <c r="AJ6" i="2"/>
  <c r="AJ5" i="2"/>
  <c r="AG33" i="2"/>
  <c r="AG18" i="2"/>
  <c r="AG19" i="2" s="1"/>
  <c r="AG34" i="2" s="1"/>
  <c r="AH19" i="2"/>
  <c r="AH34" i="2" s="1"/>
  <c r="AF23" i="2" l="1"/>
  <c r="AJ27" i="2"/>
  <c r="AG21" i="2"/>
  <c r="AJ8" i="2"/>
  <c r="AJ9" i="2" s="1"/>
  <c r="AJ28" i="2"/>
  <c r="AI14" i="2"/>
  <c r="AI30" i="2"/>
  <c r="AH21" i="2"/>
  <c r="AH35" i="2" s="1"/>
  <c r="AJ30" i="2" l="1"/>
  <c r="AJ14" i="2"/>
  <c r="AI18" i="2"/>
  <c r="AI33" i="2"/>
  <c r="AG35" i="2"/>
  <c r="AG23" i="2"/>
  <c r="AH23" i="2"/>
  <c r="AJ18" i="2" l="1"/>
  <c r="AJ19" i="2" s="1"/>
  <c r="AJ34" i="2" s="1"/>
  <c r="AJ33" i="2"/>
  <c r="AI19" i="2"/>
  <c r="AI34" i="2" s="1"/>
  <c r="AI21" i="2" l="1"/>
  <c r="AI35" i="2" s="1"/>
  <c r="AJ21" i="2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AM28" i="2" s="1"/>
  <c r="AM30" i="2" s="1"/>
  <c r="AM31" i="2" s="1"/>
  <c r="AM33" i="2" s="1"/>
  <c r="AJ35" i="2" l="1"/>
  <c r="AJ23" i="2"/>
  <c r="AI23" i="2"/>
</calcChain>
</file>

<file path=xl/sharedStrings.xml><?xml version="1.0" encoding="utf-8"?>
<sst xmlns="http://schemas.openxmlformats.org/spreadsheetml/2006/main" count="75" uniqueCount="70">
  <si>
    <t>HON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</si>
  <si>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</si>
  <si>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</si>
  <si>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</si>
  <si>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</si>
  <si>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</si>
  <si>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</si>
  <si>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</si>
  <si>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</si>
  <si>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</si>
  <si>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</si>
  <si>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</si>
  <si>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</si>
  <si>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</si>
  <si>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</si>
  <si>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</si>
  <si>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</si>
  <si>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</si>
  <si>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</si>
  <si>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</si>
  <si>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G&amp;A</t>
  </si>
  <si>
    <t>Impairment</t>
  </si>
  <si>
    <t>Other expense</t>
  </si>
  <si>
    <t>Total operating expense</t>
  </si>
  <si>
    <t>Operating profit</t>
  </si>
  <si>
    <t>Total other expense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</si>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</sst>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0</xdr:rowOff>
    </xdr:from>
    <xdr:to>
      <xdr:col>25</xdr:col>
      <xdr:colOff>30480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1B458E-3914-46AD-6435-C6425FC2E9C6}"/>
            </a:ext>
          </a:extLst>
        </xdr:cNvPr>
        <xdr:cNvCxnSpPr/>
      </xdr:nvCxnSpPr>
      <xdr:spPr>
        <a:xfrm>
          <a:off x="160858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636523D-D7A8-136C-838A-8D31496AE002}"/>
            </a:ext>
          </a:extLst>
        </xdr:cNvPr>
        <xdr:cNvCxnSpPr/>
      </xdr:nvCxnSpPr>
      <xdr:spPr>
        <a:xfrm>
          <a:off x="1059180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71BB-2F6F-49C6-9C95-CE13E10764DE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2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209.05</v>
      </c>
      <c r="E3" s="4">
        <v>45934</v>
      </c>
      <c r="F3" s="4">
        <f ca="1">TODAY()</f>
        <v>45934</v>
      </c>
      <c r="G3" s="4">
        <v>45953</v>
      </c>
    </row>
    <row r="4" spans="2:7" x14ac:dyDescent="0.3">
      <c r="C4" s="1" t="s">
        <v>2</v>
      </c>
      <c r="D4" s="6">
        <f>637.5</f>
        <v>637.5</v>
      </c>
      <c r="E4" s="3" t="s">
        <v>44</v>
      </c>
    </row>
    <row r="5" spans="2:7" x14ac:dyDescent="0.3">
      <c r="C5" s="1" t="s">
        <v>3</v>
      </c>
      <c r="D5" s="6">
        <f>D3*D4</f>
        <v>133269.375</v>
      </c>
    </row>
    <row r="6" spans="2:7" x14ac:dyDescent="0.3">
      <c r="C6" s="1" t="s">
        <v>4</v>
      </c>
      <c r="D6" s="6">
        <f>10349+328+1427</f>
        <v>12104</v>
      </c>
      <c r="E6" s="3" t="s">
        <v>44</v>
      </c>
    </row>
    <row r="7" spans="2:7" x14ac:dyDescent="0.3">
      <c r="C7" s="1" t="s">
        <v>5</v>
      </c>
      <c r="D7" s="6">
        <f>6271+74+30167</f>
        <v>36512</v>
      </c>
      <c r="E7" s="3" t="s">
        <v>44</v>
      </c>
    </row>
    <row r="8" spans="2:7" x14ac:dyDescent="0.3">
      <c r="C8" s="1" t="s">
        <v>6</v>
      </c>
      <c r="D8" s="6">
        <f>D6-D7</f>
        <v>-24408</v>
      </c>
    </row>
    <row r="9" spans="2:7" x14ac:dyDescent="0.3">
      <c r="C9" s="1" t="s">
        <v>7</v>
      </c>
      <c r="D9" s="6">
        <f>D5-D8</f>
        <v>157677.375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FB57-91F3-4052-BB69-223C5CE863B6}">
  <dimension ref="B2:EF42"/>
  <sheetViews>
    <sheetView tabSelected="1" workbookViewId="0">
      <pane xSplit="2" ySplit="2" topLeftCell="AA17" activePane="bottomRight" state="frozen"/>
      <selection pane="topRight" activeCell="C1" sqref="C1"/>
      <selection pane="bottomLeft" activeCell="A3" sqref="A3"/>
      <selection pane="bottomRight" activeCell="AQ42" sqref="AQ42"/>
    </sheetView>
  </sheetViews>
  <sheetFormatPr defaultRowHeight="14.4" x14ac:dyDescent="0.3"/>
  <cols>
    <col min="1" max="1" width="8.88671875" style="1"/>
    <col min="2" max="2" width="20.77734375" style="1" bestFit="1" customWidth="1"/>
    <col min="3" max="37" width="8.88671875" style="1"/>
    <col min="38" max="38" width="11.88671875" style="1" bestFit="1" customWidth="1"/>
    <col min="39" max="39" width="16.21875" style="1" bestFit="1" customWidth="1"/>
    <col min="40" max="16384" width="8.88671875" style="1"/>
  </cols>
  <sheetData>
    <row r="2" spans="2:36" x14ac:dyDescent="0.3"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42</v>
      </c>
      <c r="N2" s="7" t="s">
        <v>11</v>
      </c>
      <c r="O2" s="7" t="s">
        <v>43</v>
      </c>
      <c r="P2" s="7" t="s">
        <v>44</v>
      </c>
      <c r="Q2" s="7" t="s">
        <v>45</v>
      </c>
      <c r="R2" s="7" t="s">
        <v>46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12</v>
      </c>
      <c r="C3" s="6">
        <v>6132</v>
      </c>
      <c r="D3" s="6">
        <v>6684</v>
      </c>
      <c r="G3" s="6">
        <v>6310</v>
      </c>
      <c r="H3" s="6">
        <v>6441</v>
      </c>
      <c r="I3" s="6">
        <v>6294</v>
      </c>
      <c r="J3" s="6">
        <f>X3-I3-H3-G3</f>
        <v>6728</v>
      </c>
      <c r="K3" s="6">
        <v>6263</v>
      </c>
      <c r="L3" s="6">
        <v>6477</v>
      </c>
      <c r="M3" s="6">
        <v>6590</v>
      </c>
      <c r="N3" s="6">
        <f>Y3-M3-L3-K3</f>
        <v>6949</v>
      </c>
      <c r="O3" s="6">
        <v>6645</v>
      </c>
      <c r="P3" s="6">
        <v>7119</v>
      </c>
      <c r="Q3" s="6">
        <f>M3*1.1</f>
        <v>7249.0000000000009</v>
      </c>
      <c r="R3" s="6">
        <f>N3*1.08</f>
        <v>7504.92</v>
      </c>
      <c r="T3" s="6">
        <v>27629</v>
      </c>
      <c r="U3" s="6">
        <v>24737</v>
      </c>
      <c r="V3" s="6">
        <v>25643</v>
      </c>
      <c r="W3" s="6">
        <v>25960</v>
      </c>
      <c r="X3" s="6">
        <v>25773</v>
      </c>
      <c r="Y3" s="6">
        <v>26279</v>
      </c>
      <c r="Z3" s="6">
        <f>SUM(O3:R3)</f>
        <v>28517.919999999998</v>
      </c>
      <c r="AA3" s="6">
        <f>Z3*1.06</f>
        <v>30228.995200000001</v>
      </c>
      <c r="AB3" s="6">
        <f>AA3*1.05</f>
        <v>31740.444960000004</v>
      </c>
      <c r="AC3" s="6">
        <f>AB3*1.04</f>
        <v>33010.062758400003</v>
      </c>
      <c r="AD3" s="6">
        <f>AC3*1.03</f>
        <v>34000.364641152002</v>
      </c>
      <c r="AE3" s="6">
        <f t="shared" ref="AE3" si="0">AD3*1.02</f>
        <v>34680.371933975046</v>
      </c>
      <c r="AF3" s="6">
        <f t="shared" ref="AF3:AJ3" si="1">AE3*1.01</f>
        <v>35027.1756533148</v>
      </c>
      <c r="AG3" s="6">
        <f t="shared" si="1"/>
        <v>35377.447409847948</v>
      </c>
      <c r="AH3" s="6">
        <f t="shared" si="1"/>
        <v>35731.221883946426</v>
      </c>
      <c r="AI3" s="6">
        <f t="shared" si="1"/>
        <v>36088.534102785889</v>
      </c>
      <c r="AJ3" s="6">
        <f t="shared" si="1"/>
        <v>36449.419443813749</v>
      </c>
    </row>
    <row r="4" spans="2:36" x14ac:dyDescent="0.3">
      <c r="B4" s="1" t="s">
        <v>13</v>
      </c>
      <c r="C4" s="6">
        <v>2244</v>
      </c>
      <c r="D4" s="6">
        <v>2269</v>
      </c>
      <c r="G4" s="6">
        <v>2554</v>
      </c>
      <c r="H4" s="6">
        <v>2705</v>
      </c>
      <c r="I4" s="6">
        <v>2918</v>
      </c>
      <c r="J4" s="6">
        <f>X4-I4-H4-G4</f>
        <v>2712</v>
      </c>
      <c r="K4" s="6">
        <v>2842</v>
      </c>
      <c r="L4" s="6">
        <v>3100</v>
      </c>
      <c r="M4" s="6">
        <v>3138</v>
      </c>
      <c r="N4" s="6">
        <f>Y4-M4-L4-K4</f>
        <v>3139</v>
      </c>
      <c r="O4" s="6">
        <v>3177</v>
      </c>
      <c r="P4" s="6">
        <v>3233</v>
      </c>
      <c r="Q4" s="6">
        <f>M4*1.08</f>
        <v>3389.0400000000004</v>
      </c>
      <c r="R4" s="6">
        <f>N4*1.1</f>
        <v>3452.9</v>
      </c>
      <c r="T4" s="6">
        <v>9080</v>
      </c>
      <c r="U4" s="6">
        <v>7900</v>
      </c>
      <c r="V4" s="6">
        <v>8749</v>
      </c>
      <c r="W4" s="6">
        <v>9506</v>
      </c>
      <c r="X4" s="6">
        <v>10889</v>
      </c>
      <c r="Y4" s="6">
        <v>12219</v>
      </c>
      <c r="Z4" s="6">
        <f>SUM(O4:R4)</f>
        <v>13251.94</v>
      </c>
      <c r="AA4" s="6">
        <f>Z4*1.06</f>
        <v>14047.056400000001</v>
      </c>
      <c r="AB4" s="6">
        <f>AA4*1.05</f>
        <v>14749.409220000001</v>
      </c>
      <c r="AC4" s="6">
        <f>AB4*1.04</f>
        <v>15339.385588800002</v>
      </c>
      <c r="AD4" s="6">
        <f>AC4*1.03</f>
        <v>15799.567156464002</v>
      </c>
      <c r="AE4" s="6">
        <f>AD4*1.03</f>
        <v>16273.554171157923</v>
      </c>
      <c r="AF4" s="6">
        <f t="shared" ref="AF4:AJ4" si="2">AE4*1.02</f>
        <v>16599.02525458108</v>
      </c>
      <c r="AG4" s="6">
        <f t="shared" si="2"/>
        <v>16931.005759672702</v>
      </c>
      <c r="AH4" s="6">
        <f t="shared" si="2"/>
        <v>17269.625874866157</v>
      </c>
      <c r="AI4" s="6">
        <f t="shared" si="2"/>
        <v>17615.01839236348</v>
      </c>
      <c r="AJ4" s="6">
        <f t="shared" si="2"/>
        <v>17967.31876021075</v>
      </c>
    </row>
    <row r="5" spans="2:36" s="2" customFormat="1" x14ac:dyDescent="0.3">
      <c r="B5" s="2" t="s">
        <v>14</v>
      </c>
      <c r="C5" s="9">
        <f t="shared" ref="C5" si="3">C3+C4</f>
        <v>8376</v>
      </c>
      <c r="D5" s="9">
        <f t="shared" ref="D5" si="4">D3+D4</f>
        <v>8953</v>
      </c>
      <c r="G5" s="9">
        <f t="shared" ref="G5" si="5">G3+G4</f>
        <v>8864</v>
      </c>
      <c r="H5" s="9">
        <f t="shared" ref="H5:I5" si="6">H3+H4</f>
        <v>9146</v>
      </c>
      <c r="I5" s="9">
        <f t="shared" si="6"/>
        <v>9212</v>
      </c>
      <c r="J5" s="9">
        <f t="shared" ref="J5:K5" si="7">J3+J4</f>
        <v>9440</v>
      </c>
      <c r="K5" s="9">
        <f t="shared" si="7"/>
        <v>9105</v>
      </c>
      <c r="L5" s="9">
        <f t="shared" ref="L5:M5" si="8">L3+L4</f>
        <v>9577</v>
      </c>
      <c r="M5" s="9">
        <f t="shared" si="8"/>
        <v>9728</v>
      </c>
      <c r="N5" s="9">
        <f t="shared" ref="N5" si="9">N3+N4</f>
        <v>10088</v>
      </c>
      <c r="O5" s="9">
        <f t="shared" ref="O5:R5" si="10">O3+O4</f>
        <v>9822</v>
      </c>
      <c r="P5" s="9">
        <f t="shared" si="10"/>
        <v>10352</v>
      </c>
      <c r="Q5" s="9">
        <f t="shared" si="10"/>
        <v>10638.04</v>
      </c>
      <c r="R5" s="9">
        <f t="shared" si="10"/>
        <v>10957.82</v>
      </c>
      <c r="T5" s="9">
        <f t="shared" ref="T5:Z5" si="11">T3+T4</f>
        <v>36709</v>
      </c>
      <c r="U5" s="9">
        <f t="shared" si="11"/>
        <v>32637</v>
      </c>
      <c r="V5" s="9">
        <f t="shared" si="11"/>
        <v>34392</v>
      </c>
      <c r="W5" s="9">
        <f t="shared" si="11"/>
        <v>35466</v>
      </c>
      <c r="X5" s="9">
        <f t="shared" si="11"/>
        <v>36662</v>
      </c>
      <c r="Y5" s="9">
        <f t="shared" si="11"/>
        <v>38498</v>
      </c>
      <c r="Z5" s="9">
        <f t="shared" si="11"/>
        <v>41769.86</v>
      </c>
      <c r="AA5" s="9">
        <f t="shared" ref="AA5:AJ5" si="12">AA3+AA4</f>
        <v>44276.051600000006</v>
      </c>
      <c r="AB5" s="9">
        <f t="shared" si="12"/>
        <v>46489.854180000009</v>
      </c>
      <c r="AC5" s="9">
        <f t="shared" si="12"/>
        <v>48349.448347200007</v>
      </c>
      <c r="AD5" s="9">
        <f t="shared" si="12"/>
        <v>49799.931797616002</v>
      </c>
      <c r="AE5" s="9">
        <f t="shared" si="12"/>
        <v>50953.926105132967</v>
      </c>
      <c r="AF5" s="9">
        <f t="shared" si="12"/>
        <v>51626.20090789588</v>
      </c>
      <c r="AG5" s="9">
        <f t="shared" si="12"/>
        <v>52308.453169520653</v>
      </c>
      <c r="AH5" s="9">
        <f t="shared" si="12"/>
        <v>53000.847758812582</v>
      </c>
      <c r="AI5" s="9">
        <f t="shared" si="12"/>
        <v>53703.552495149372</v>
      </c>
      <c r="AJ5" s="9">
        <f t="shared" si="12"/>
        <v>54416.738204024499</v>
      </c>
    </row>
    <row r="6" spans="2:36" x14ac:dyDescent="0.3">
      <c r="B6" s="1" t="s">
        <v>15</v>
      </c>
      <c r="C6" s="6">
        <v>4059</v>
      </c>
      <c r="D6" s="6">
        <v>4329</v>
      </c>
      <c r="G6" s="6">
        <v>4068</v>
      </c>
      <c r="H6" s="6">
        <v>4133</v>
      </c>
      <c r="I6" s="6">
        <v>4090</v>
      </c>
      <c r="J6" s="6">
        <f t="shared" ref="J6:J7" si="13">X6-I6-H6-G6</f>
        <v>4686</v>
      </c>
      <c r="K6" s="6">
        <v>4035</v>
      </c>
      <c r="L6" s="6">
        <v>4247</v>
      </c>
      <c r="M6" s="6">
        <v>4166</v>
      </c>
      <c r="N6" s="6">
        <f t="shared" ref="N6:N7" si="14">Y6-M6-L6-K6</f>
        <v>4779</v>
      </c>
      <c r="O6" s="6">
        <v>4251</v>
      </c>
      <c r="P6" s="6">
        <v>4548</v>
      </c>
      <c r="Q6" s="6">
        <f>Q3*0.64</f>
        <v>4639.3600000000006</v>
      </c>
      <c r="R6" s="6">
        <f>R3*0.68</f>
        <v>5103.3456000000006</v>
      </c>
      <c r="T6" s="6">
        <v>19269</v>
      </c>
      <c r="U6" s="6">
        <v>17638</v>
      </c>
      <c r="V6" s="6">
        <v>18344</v>
      </c>
      <c r="W6" s="6">
        <v>16955</v>
      </c>
      <c r="X6" s="6">
        <v>16977</v>
      </c>
      <c r="Y6" s="6">
        <v>17227</v>
      </c>
      <c r="Z6" s="6">
        <f t="shared" ref="Z6:Z7" si="15">SUM(O6:R6)</f>
        <v>18541.705600000001</v>
      </c>
      <c r="AA6" s="6">
        <f t="shared" ref="AA6:AJ6" si="16">AA3*0.66</f>
        <v>19951.136832</v>
      </c>
      <c r="AB6" s="6">
        <f t="shared" si="16"/>
        <v>20948.693673600003</v>
      </c>
      <c r="AC6" s="6">
        <f t="shared" si="16"/>
        <v>21786.641420544001</v>
      </c>
      <c r="AD6" s="6">
        <f t="shared" si="16"/>
        <v>22440.240663160323</v>
      </c>
      <c r="AE6" s="6">
        <f t="shared" si="16"/>
        <v>22889.045476423533</v>
      </c>
      <c r="AF6" s="6">
        <f t="shared" si="16"/>
        <v>23117.935931187771</v>
      </c>
      <c r="AG6" s="6">
        <f t="shared" si="16"/>
        <v>23349.115290499645</v>
      </c>
      <c r="AH6" s="6">
        <f t="shared" si="16"/>
        <v>23582.606443404642</v>
      </c>
      <c r="AI6" s="6">
        <f t="shared" si="16"/>
        <v>23818.432507838686</v>
      </c>
      <c r="AJ6" s="6">
        <f t="shared" si="16"/>
        <v>24056.616832917076</v>
      </c>
    </row>
    <row r="7" spans="2:36" x14ac:dyDescent="0.3">
      <c r="B7" s="1" t="s">
        <v>16</v>
      </c>
      <c r="C7" s="6">
        <v>1265</v>
      </c>
      <c r="D7" s="6">
        <v>1331</v>
      </c>
      <c r="G7" s="6">
        <v>1430</v>
      </c>
      <c r="H7" s="6">
        <v>1493</v>
      </c>
      <c r="I7" s="6">
        <v>1580</v>
      </c>
      <c r="J7" s="6">
        <f t="shared" si="13"/>
        <v>1515</v>
      </c>
      <c r="K7" s="6">
        <v>1548</v>
      </c>
      <c r="L7" s="6">
        <v>1609</v>
      </c>
      <c r="M7" s="6">
        <v>1813</v>
      </c>
      <c r="N7" s="6">
        <f t="shared" si="14"/>
        <v>1639</v>
      </c>
      <c r="O7" s="6">
        <v>1786</v>
      </c>
      <c r="P7" s="6">
        <v>1781</v>
      </c>
      <c r="Q7" s="6">
        <f>Q4*0.54</f>
        <v>1830.0816000000004</v>
      </c>
      <c r="R7" s="6">
        <f>R4*0.54</f>
        <v>1864.5660000000003</v>
      </c>
      <c r="T7" s="6">
        <v>5070</v>
      </c>
      <c r="U7" s="6">
        <v>4531</v>
      </c>
      <c r="V7" s="6">
        <v>5050</v>
      </c>
      <c r="W7" s="6">
        <v>5392</v>
      </c>
      <c r="X7" s="6">
        <v>6018</v>
      </c>
      <c r="Y7" s="6">
        <v>6609</v>
      </c>
      <c r="Z7" s="6">
        <f t="shared" si="15"/>
        <v>7261.6476000000002</v>
      </c>
      <c r="AA7" s="6">
        <f t="shared" ref="AA7:AJ7" si="17">AA4*0.53</f>
        <v>7444.9398920000012</v>
      </c>
      <c r="AB7" s="6">
        <f t="shared" si="17"/>
        <v>7817.1868866000013</v>
      </c>
      <c r="AC7" s="6">
        <f t="shared" si="17"/>
        <v>8129.8743620640016</v>
      </c>
      <c r="AD7" s="6">
        <f t="shared" si="17"/>
        <v>8373.7705929259209</v>
      </c>
      <c r="AE7" s="6">
        <f t="shared" si="17"/>
        <v>8624.9837107136991</v>
      </c>
      <c r="AF7" s="6">
        <f t="shared" si="17"/>
        <v>8797.483384927973</v>
      </c>
      <c r="AG7" s="6">
        <f t="shared" si="17"/>
        <v>8973.433052626533</v>
      </c>
      <c r="AH7" s="6">
        <f t="shared" si="17"/>
        <v>9152.9017136790626</v>
      </c>
      <c r="AI7" s="6">
        <f t="shared" si="17"/>
        <v>9335.9597479526437</v>
      </c>
      <c r="AJ7" s="6">
        <f t="shared" si="17"/>
        <v>9522.678942911698</v>
      </c>
    </row>
    <row r="8" spans="2:36" x14ac:dyDescent="0.3">
      <c r="B8" s="1" t="s">
        <v>17</v>
      </c>
      <c r="C8" s="6">
        <f t="shared" ref="C8" si="18">C6+C7</f>
        <v>5324</v>
      </c>
      <c r="D8" s="6">
        <f t="shared" ref="D8" si="19">D6+D7</f>
        <v>5660</v>
      </c>
      <c r="G8" s="6">
        <f t="shared" ref="G8" si="20">G6+G7</f>
        <v>5498</v>
      </c>
      <c r="H8" s="6">
        <f t="shared" ref="H8:I8" si="21">H6+H7</f>
        <v>5626</v>
      </c>
      <c r="I8" s="6">
        <f t="shared" si="21"/>
        <v>5670</v>
      </c>
      <c r="J8" s="6">
        <f t="shared" ref="J8:K8" si="22">J6+J7</f>
        <v>6201</v>
      </c>
      <c r="K8" s="6">
        <f t="shared" si="22"/>
        <v>5583</v>
      </c>
      <c r="L8" s="6">
        <f t="shared" ref="L8:M8" si="23">L6+L7</f>
        <v>5856</v>
      </c>
      <c r="M8" s="6">
        <f t="shared" si="23"/>
        <v>5979</v>
      </c>
      <c r="N8" s="6">
        <f t="shared" ref="N8" si="24">N6+N7</f>
        <v>6418</v>
      </c>
      <c r="O8" s="6">
        <f t="shared" ref="O8:P8" si="25">O6+O7</f>
        <v>6037</v>
      </c>
      <c r="P8" s="6">
        <f t="shared" si="25"/>
        <v>6329</v>
      </c>
      <c r="Q8" s="6">
        <f t="shared" ref="Q8:R8" si="26">Q6+Q7</f>
        <v>6469.441600000001</v>
      </c>
      <c r="R8" s="6">
        <f t="shared" si="26"/>
        <v>6967.9116000000013</v>
      </c>
      <c r="T8" s="6">
        <f t="shared" ref="T8:Y8" si="27">T6+T7</f>
        <v>24339</v>
      </c>
      <c r="U8" s="6">
        <f t="shared" si="27"/>
        <v>22169</v>
      </c>
      <c r="V8" s="6">
        <f t="shared" si="27"/>
        <v>23394</v>
      </c>
      <c r="W8" s="6">
        <f t="shared" si="27"/>
        <v>22347</v>
      </c>
      <c r="X8" s="6">
        <f t="shared" si="27"/>
        <v>22995</v>
      </c>
      <c r="Y8" s="6">
        <f t="shared" si="27"/>
        <v>23836</v>
      </c>
      <c r="Z8" s="6">
        <f t="shared" ref="Z8:AJ8" si="28">Z6+Z7</f>
        <v>25803.353200000001</v>
      </c>
      <c r="AA8" s="6">
        <f t="shared" si="28"/>
        <v>27396.076724000002</v>
      </c>
      <c r="AB8" s="6">
        <f t="shared" si="28"/>
        <v>28765.880560200003</v>
      </c>
      <c r="AC8" s="6">
        <f t="shared" si="28"/>
        <v>29916.515782608003</v>
      </c>
      <c r="AD8" s="6">
        <f t="shared" si="28"/>
        <v>30814.011256086244</v>
      </c>
      <c r="AE8" s="6">
        <f t="shared" si="28"/>
        <v>31514.029187137232</v>
      </c>
      <c r="AF8" s="6">
        <f t="shared" si="28"/>
        <v>31915.419316115745</v>
      </c>
      <c r="AG8" s="6">
        <f t="shared" si="28"/>
        <v>32322.548343126178</v>
      </c>
      <c r="AH8" s="6">
        <f t="shared" si="28"/>
        <v>32735.508157083706</v>
      </c>
      <c r="AI8" s="6">
        <f t="shared" si="28"/>
        <v>33154.392255791332</v>
      </c>
      <c r="AJ8" s="6">
        <f t="shared" si="28"/>
        <v>33579.295775828774</v>
      </c>
    </row>
    <row r="9" spans="2:36" s="2" customFormat="1" x14ac:dyDescent="0.3">
      <c r="B9" s="2" t="s">
        <v>18</v>
      </c>
      <c r="C9" s="9">
        <f t="shared" ref="C9" si="29">C5-C8</f>
        <v>3052</v>
      </c>
      <c r="D9" s="9">
        <f t="shared" ref="D9" si="30">D5-D8</f>
        <v>3293</v>
      </c>
      <c r="G9" s="9">
        <f t="shared" ref="G9" si="31">G5-G8</f>
        <v>3366</v>
      </c>
      <c r="H9" s="9">
        <f t="shared" ref="H9:I9" si="32">H5-H8</f>
        <v>3520</v>
      </c>
      <c r="I9" s="9">
        <f t="shared" si="32"/>
        <v>3542</v>
      </c>
      <c r="J9" s="9">
        <f t="shared" ref="J9:K9" si="33">J5-J8</f>
        <v>3239</v>
      </c>
      <c r="K9" s="9">
        <f t="shared" si="33"/>
        <v>3522</v>
      </c>
      <c r="L9" s="9">
        <f t="shared" ref="L9:M9" si="34">L5-L8</f>
        <v>3721</v>
      </c>
      <c r="M9" s="9">
        <f t="shared" si="34"/>
        <v>3749</v>
      </c>
      <c r="N9" s="9">
        <f t="shared" ref="N9" si="35">N5-N8</f>
        <v>3670</v>
      </c>
      <c r="O9" s="9">
        <f t="shared" ref="O9:P9" si="36">O5-O8</f>
        <v>3785</v>
      </c>
      <c r="P9" s="9">
        <f t="shared" si="36"/>
        <v>4023</v>
      </c>
      <c r="Q9" s="9">
        <f t="shared" ref="Q9:R9" si="37">Q5-Q8</f>
        <v>4168.5983999999999</v>
      </c>
      <c r="R9" s="9">
        <f t="shared" si="37"/>
        <v>3989.9083999999984</v>
      </c>
      <c r="T9" s="9">
        <f t="shared" ref="T9:Y9" si="38">T5-T8</f>
        <v>12370</v>
      </c>
      <c r="U9" s="9">
        <f t="shared" si="38"/>
        <v>10468</v>
      </c>
      <c r="V9" s="9">
        <f t="shared" si="38"/>
        <v>10998</v>
      </c>
      <c r="W9" s="9">
        <f t="shared" si="38"/>
        <v>13119</v>
      </c>
      <c r="X9" s="9">
        <f t="shared" si="38"/>
        <v>13667</v>
      </c>
      <c r="Y9" s="9">
        <f t="shared" si="38"/>
        <v>14662</v>
      </c>
      <c r="Z9" s="9">
        <f t="shared" ref="Z9:AJ9" si="39">Z5-Z8</f>
        <v>15966.506799999999</v>
      </c>
      <c r="AA9" s="9">
        <f t="shared" si="39"/>
        <v>16879.974876000004</v>
      </c>
      <c r="AB9" s="9">
        <f t="shared" si="39"/>
        <v>17723.973619800006</v>
      </c>
      <c r="AC9" s="9">
        <f t="shared" si="39"/>
        <v>18432.932564592003</v>
      </c>
      <c r="AD9" s="9">
        <f t="shared" si="39"/>
        <v>18985.920541529758</v>
      </c>
      <c r="AE9" s="9">
        <f t="shared" si="39"/>
        <v>19439.896917995735</v>
      </c>
      <c r="AF9" s="9">
        <f t="shared" si="39"/>
        <v>19710.781591780134</v>
      </c>
      <c r="AG9" s="9">
        <f t="shared" si="39"/>
        <v>19985.904826394475</v>
      </c>
      <c r="AH9" s="9">
        <f t="shared" si="39"/>
        <v>20265.339601728876</v>
      </c>
      <c r="AI9" s="9">
        <f t="shared" si="39"/>
        <v>20549.16023935804</v>
      </c>
      <c r="AJ9" s="9">
        <f t="shared" si="39"/>
        <v>20837.442428195725</v>
      </c>
    </row>
    <row r="10" spans="2:36" x14ac:dyDescent="0.3">
      <c r="B10" s="1" t="s">
        <v>19</v>
      </c>
      <c r="C10" s="6">
        <v>350</v>
      </c>
      <c r="D10" s="6">
        <v>386</v>
      </c>
      <c r="G10" s="6">
        <v>357</v>
      </c>
      <c r="H10" s="6">
        <v>375</v>
      </c>
      <c r="I10" s="6">
        <v>364</v>
      </c>
      <c r="J10" s="6">
        <f t="shared" ref="J10:J12" si="40">X10-I10-H10-G10</f>
        <v>360</v>
      </c>
      <c r="K10" s="6">
        <v>360</v>
      </c>
      <c r="L10" s="6">
        <v>382</v>
      </c>
      <c r="M10" s="6">
        <v>368</v>
      </c>
      <c r="N10" s="6">
        <f t="shared" ref="N10:N12" si="41">Y10-M10-L10-K10</f>
        <v>426</v>
      </c>
      <c r="O10" s="6">
        <v>439</v>
      </c>
      <c r="P10" s="6">
        <v>481</v>
      </c>
      <c r="Q10" s="6">
        <f>M10*1.25</f>
        <v>460</v>
      </c>
      <c r="R10" s="6">
        <f>N10*1.2</f>
        <v>511.2</v>
      </c>
      <c r="T10" s="6"/>
      <c r="U10" s="6"/>
      <c r="V10" s="6"/>
      <c r="W10" s="6">
        <v>1478</v>
      </c>
      <c r="X10" s="6">
        <v>1456</v>
      </c>
      <c r="Y10" s="6">
        <v>1536</v>
      </c>
      <c r="Z10" s="6">
        <f t="shared" ref="Z10:Z12" si="42">SUM(O10:R10)</f>
        <v>1891.2</v>
      </c>
      <c r="AA10" s="6">
        <f>Z10*1.12</f>
        <v>2118.1440000000002</v>
      </c>
      <c r="AB10" s="6">
        <f>AA10*1.07</f>
        <v>2266.4140800000005</v>
      </c>
      <c r="AC10" s="6">
        <f>AB10*1.03</f>
        <v>2334.4065024000006</v>
      </c>
      <c r="AD10" s="6">
        <f t="shared" ref="AD10:AJ10" si="43">AC10*1.02</f>
        <v>2381.0946324480005</v>
      </c>
      <c r="AE10" s="6">
        <f t="shared" si="43"/>
        <v>2428.7165250969606</v>
      </c>
      <c r="AF10" s="6">
        <f t="shared" si="43"/>
        <v>2477.2908555988997</v>
      </c>
      <c r="AG10" s="6">
        <f t="shared" si="43"/>
        <v>2526.8366727108778</v>
      </c>
      <c r="AH10" s="6">
        <f t="shared" si="43"/>
        <v>2577.3734061650953</v>
      </c>
      <c r="AI10" s="6">
        <f t="shared" si="43"/>
        <v>2628.920874288397</v>
      </c>
      <c r="AJ10" s="6">
        <f t="shared" si="43"/>
        <v>2681.4992917741652</v>
      </c>
    </row>
    <row r="11" spans="2:36" x14ac:dyDescent="0.3">
      <c r="B11" s="1" t="s">
        <v>20</v>
      </c>
      <c r="C11" s="6">
        <v>1431</v>
      </c>
      <c r="D11" s="6">
        <v>1306</v>
      </c>
      <c r="G11" s="6">
        <v>1317</v>
      </c>
      <c r="H11" s="6">
        <v>1262</v>
      </c>
      <c r="I11" s="6">
        <v>1252</v>
      </c>
      <c r="J11" s="6">
        <f t="shared" si="40"/>
        <v>1296</v>
      </c>
      <c r="K11" s="6">
        <v>1302</v>
      </c>
      <c r="L11" s="6">
        <v>1361</v>
      </c>
      <c r="M11" s="6">
        <v>1398</v>
      </c>
      <c r="N11" s="6">
        <f t="shared" si="41"/>
        <v>1405</v>
      </c>
      <c r="O11" s="6">
        <v>1361</v>
      </c>
      <c r="P11" s="6">
        <v>1428</v>
      </c>
      <c r="Q11" s="6">
        <f>M11*1.05</f>
        <v>1467.9</v>
      </c>
      <c r="R11" s="6">
        <f>N11*1.05</f>
        <v>1475.25</v>
      </c>
      <c r="T11" s="6">
        <v>5519</v>
      </c>
      <c r="U11" s="6">
        <v>4772</v>
      </c>
      <c r="V11" s="6">
        <v>4798</v>
      </c>
      <c r="W11" s="6">
        <v>5214</v>
      </c>
      <c r="X11" s="6">
        <v>5127</v>
      </c>
      <c r="Y11" s="6">
        <v>5466</v>
      </c>
      <c r="Z11" s="6">
        <f t="shared" si="42"/>
        <v>5732.15</v>
      </c>
      <c r="AA11" s="6">
        <f>Z11*1.03</f>
        <v>5904.1144999999997</v>
      </c>
      <c r="AB11" s="6">
        <f>AA11*1.02</f>
        <v>6022.19679</v>
      </c>
      <c r="AC11" s="6">
        <f t="shared" ref="AC11:AJ11" si="44">AB11*1.01</f>
        <v>6082.4187578999999</v>
      </c>
      <c r="AD11" s="6">
        <f t="shared" si="44"/>
        <v>6143.2429454789999</v>
      </c>
      <c r="AE11" s="6">
        <f t="shared" si="44"/>
        <v>6204.6753749337895</v>
      </c>
      <c r="AF11" s="6">
        <f t="shared" si="44"/>
        <v>6266.7221286831273</v>
      </c>
      <c r="AG11" s="6">
        <f t="shared" si="44"/>
        <v>6329.3893499699589</v>
      </c>
      <c r="AH11" s="6">
        <f t="shared" si="44"/>
        <v>6392.6832434696589</v>
      </c>
      <c r="AI11" s="6">
        <f t="shared" si="44"/>
        <v>6456.6100759043557</v>
      </c>
      <c r="AJ11" s="6">
        <f t="shared" si="44"/>
        <v>6521.176176663399</v>
      </c>
    </row>
    <row r="12" spans="2:36" x14ac:dyDescent="0.3">
      <c r="B12" s="1" t="s">
        <v>21</v>
      </c>
      <c r="C12" s="6">
        <v>0</v>
      </c>
      <c r="D12" s="6">
        <v>0</v>
      </c>
      <c r="G12" s="6">
        <v>0</v>
      </c>
      <c r="H12" s="6">
        <v>0</v>
      </c>
      <c r="I12" s="6">
        <v>0</v>
      </c>
      <c r="J12" s="6">
        <f t="shared" si="40"/>
        <v>0</v>
      </c>
      <c r="K12" s="6">
        <v>0</v>
      </c>
      <c r="L12" s="6">
        <v>0</v>
      </c>
      <c r="M12" s="6">
        <v>125</v>
      </c>
      <c r="N12" s="6">
        <f t="shared" si="41"/>
        <v>94</v>
      </c>
      <c r="O12" s="6">
        <v>15</v>
      </c>
      <c r="P12" s="6">
        <v>0</v>
      </c>
      <c r="Q12" s="6">
        <v>0</v>
      </c>
      <c r="R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219</v>
      </c>
      <c r="Z12" s="6">
        <f t="shared" si="42"/>
        <v>15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</row>
    <row r="13" spans="2:36" x14ac:dyDescent="0.3">
      <c r="B13" s="1" t="s">
        <v>23</v>
      </c>
      <c r="C13" s="6">
        <f t="shared" ref="C13" si="45">SUM(C10:C12)</f>
        <v>1781</v>
      </c>
      <c r="D13" s="6">
        <f t="shared" ref="D13" si="46">SUM(D10:D12)</f>
        <v>1692</v>
      </c>
      <c r="G13" s="6">
        <f t="shared" ref="G13" si="47">SUM(G10:G12)</f>
        <v>1674</v>
      </c>
      <c r="H13" s="6">
        <f t="shared" ref="H13:I13" si="48">SUM(H10:H12)</f>
        <v>1637</v>
      </c>
      <c r="I13" s="6">
        <f t="shared" si="48"/>
        <v>1616</v>
      </c>
      <c r="J13" s="6">
        <f t="shared" ref="J13:K13" si="49">SUM(J10:J12)</f>
        <v>1656</v>
      </c>
      <c r="K13" s="6">
        <f t="shared" si="49"/>
        <v>1662</v>
      </c>
      <c r="L13" s="6">
        <f t="shared" ref="L13" si="50">SUM(L10:L12)</f>
        <v>1743</v>
      </c>
      <c r="M13" s="6">
        <f t="shared" ref="M13:N13" si="51">SUM(M10:M12)</f>
        <v>1891</v>
      </c>
      <c r="N13" s="6">
        <f t="shared" si="51"/>
        <v>1925</v>
      </c>
      <c r="O13" s="6">
        <f t="shared" ref="O13:P13" si="52">SUM(O10:O12)</f>
        <v>1815</v>
      </c>
      <c r="P13" s="6">
        <f t="shared" si="52"/>
        <v>1909</v>
      </c>
      <c r="Q13" s="6">
        <f t="shared" ref="Q13:R13" si="53">SUM(Q10:Q12)</f>
        <v>1927.9</v>
      </c>
      <c r="R13" s="6">
        <f t="shared" si="53"/>
        <v>1986.45</v>
      </c>
      <c r="T13" s="6">
        <f t="shared" ref="T13:Y13" si="54">SUM(T10:T12)</f>
        <v>5519</v>
      </c>
      <c r="U13" s="6">
        <f t="shared" si="54"/>
        <v>4772</v>
      </c>
      <c r="V13" s="6">
        <f t="shared" si="54"/>
        <v>4798</v>
      </c>
      <c r="W13" s="6">
        <f t="shared" si="54"/>
        <v>6692</v>
      </c>
      <c r="X13" s="6">
        <f t="shared" si="54"/>
        <v>6583</v>
      </c>
      <c r="Y13" s="6">
        <f t="shared" si="54"/>
        <v>7221</v>
      </c>
      <c r="Z13" s="6">
        <f t="shared" ref="Z13:AJ13" si="55">SUM(Z10:Z12)</f>
        <v>7638.3499999999995</v>
      </c>
      <c r="AA13" s="6">
        <f t="shared" si="55"/>
        <v>8022.2584999999999</v>
      </c>
      <c r="AB13" s="6">
        <f t="shared" si="55"/>
        <v>8288.6108700000004</v>
      </c>
      <c r="AC13" s="6">
        <f t="shared" si="55"/>
        <v>8416.8252603000001</v>
      </c>
      <c r="AD13" s="6">
        <f t="shared" si="55"/>
        <v>8524.3375779270009</v>
      </c>
      <c r="AE13" s="6">
        <f t="shared" si="55"/>
        <v>8633.3919000307505</v>
      </c>
      <c r="AF13" s="6">
        <f t="shared" si="55"/>
        <v>8744.0129842820279</v>
      </c>
      <c r="AG13" s="6">
        <f t="shared" si="55"/>
        <v>8856.2260226808357</v>
      </c>
      <c r="AH13" s="6">
        <f t="shared" si="55"/>
        <v>8970.0566496347546</v>
      </c>
      <c r="AI13" s="6">
        <f t="shared" si="55"/>
        <v>9085.5309501927532</v>
      </c>
      <c r="AJ13" s="6">
        <f t="shared" si="55"/>
        <v>9202.6754684375646</v>
      </c>
    </row>
    <row r="14" spans="2:36" s="2" customFormat="1" x14ac:dyDescent="0.3">
      <c r="B14" s="2" t="s">
        <v>24</v>
      </c>
      <c r="C14" s="9">
        <f t="shared" ref="C14" si="56">C9-C13</f>
        <v>1271</v>
      </c>
      <c r="D14" s="9">
        <f t="shared" ref="D14" si="57">D9-D13</f>
        <v>1601</v>
      </c>
      <c r="G14" s="9">
        <f t="shared" ref="G14" si="58">G9-G13</f>
        <v>1692</v>
      </c>
      <c r="H14" s="9">
        <f t="shared" ref="H14:I14" si="59">H9-H13</f>
        <v>1883</v>
      </c>
      <c r="I14" s="9">
        <f t="shared" si="59"/>
        <v>1926</v>
      </c>
      <c r="J14" s="9">
        <f t="shared" ref="J14:K14" si="60">J9-J13</f>
        <v>1583</v>
      </c>
      <c r="K14" s="9">
        <f t="shared" si="60"/>
        <v>1860</v>
      </c>
      <c r="L14" s="9">
        <f t="shared" ref="L14:M14" si="61">L9-L13</f>
        <v>1978</v>
      </c>
      <c r="M14" s="9">
        <f t="shared" si="61"/>
        <v>1858</v>
      </c>
      <c r="N14" s="9">
        <f t="shared" ref="N14" si="62">N9-N13</f>
        <v>1745</v>
      </c>
      <c r="O14" s="9">
        <f t="shared" ref="O14:P14" si="63">O9-O13</f>
        <v>1970</v>
      </c>
      <c r="P14" s="9">
        <f t="shared" si="63"/>
        <v>2114</v>
      </c>
      <c r="Q14" s="9">
        <f t="shared" ref="Q14:R14" si="64">Q9-Q13</f>
        <v>2240.6983999999998</v>
      </c>
      <c r="R14" s="9">
        <f t="shared" si="64"/>
        <v>2003.4583999999984</v>
      </c>
      <c r="T14" s="9">
        <f t="shared" ref="T14:Y14" si="65">T9-T13</f>
        <v>6851</v>
      </c>
      <c r="U14" s="9">
        <f t="shared" si="65"/>
        <v>5696</v>
      </c>
      <c r="V14" s="9">
        <f t="shared" si="65"/>
        <v>6200</v>
      </c>
      <c r="W14" s="9">
        <f t="shared" si="65"/>
        <v>6427</v>
      </c>
      <c r="X14" s="9">
        <f t="shared" si="65"/>
        <v>7084</v>
      </c>
      <c r="Y14" s="9">
        <f t="shared" si="65"/>
        <v>7441</v>
      </c>
      <c r="Z14" s="9">
        <f t="shared" ref="Z14:AJ14" si="66">Z9-Z13</f>
        <v>8328.1568000000007</v>
      </c>
      <c r="AA14" s="9">
        <f t="shared" si="66"/>
        <v>8857.7163760000039</v>
      </c>
      <c r="AB14" s="9">
        <f t="shared" si="66"/>
        <v>9435.362749800006</v>
      </c>
      <c r="AC14" s="9">
        <f t="shared" si="66"/>
        <v>10016.107304292003</v>
      </c>
      <c r="AD14" s="9">
        <f t="shared" si="66"/>
        <v>10461.582963602757</v>
      </c>
      <c r="AE14" s="9">
        <f t="shared" si="66"/>
        <v>10806.505017964984</v>
      </c>
      <c r="AF14" s="9">
        <f t="shared" si="66"/>
        <v>10966.768607498107</v>
      </c>
      <c r="AG14" s="9">
        <f t="shared" si="66"/>
        <v>11129.678803713639</v>
      </c>
      <c r="AH14" s="9">
        <f t="shared" si="66"/>
        <v>11295.282952094121</v>
      </c>
      <c r="AI14" s="9">
        <f t="shared" si="66"/>
        <v>11463.629289165287</v>
      </c>
      <c r="AJ14" s="9">
        <f t="shared" si="66"/>
        <v>11634.766959758161</v>
      </c>
    </row>
    <row r="15" spans="2:36" x14ac:dyDescent="0.3">
      <c r="B15" s="1" t="s">
        <v>22</v>
      </c>
      <c r="C15" s="6">
        <v>-319</v>
      </c>
      <c r="D15" s="6">
        <v>-190</v>
      </c>
      <c r="G15" s="6">
        <v>-260</v>
      </c>
      <c r="H15" s="6">
        <v>-208</v>
      </c>
      <c r="I15" s="6">
        <v>-247</v>
      </c>
      <c r="J15" s="6">
        <f t="shared" ref="J15:J16" si="67">X15-I15-H15-G15</f>
        <v>-125</v>
      </c>
      <c r="K15" s="6">
        <v>-231</v>
      </c>
      <c r="L15" s="6">
        <v>-246</v>
      </c>
      <c r="M15" s="6">
        <v>-263</v>
      </c>
      <c r="N15" s="6">
        <f t="shared" ref="N15:N16" si="68">Y15-M15-L15-K15</f>
        <v>-90</v>
      </c>
      <c r="O15" s="6">
        <v>-200</v>
      </c>
      <c r="P15" s="6">
        <v>-87</v>
      </c>
      <c r="Q15" s="6">
        <f>M15*1.01</f>
        <v>-265.63</v>
      </c>
      <c r="R15" s="6">
        <f>N15*1.01</f>
        <v>-90.9</v>
      </c>
      <c r="T15" s="6">
        <v>-1065</v>
      </c>
      <c r="U15" s="6">
        <v>-675</v>
      </c>
      <c r="V15" s="6">
        <v>-1378</v>
      </c>
      <c r="W15" s="6">
        <v>-366</v>
      </c>
      <c r="X15" s="6">
        <v>-840</v>
      </c>
      <c r="Y15" s="6">
        <v>-830</v>
      </c>
      <c r="Z15" s="6">
        <f t="shared" ref="Z15:Z16" si="69">SUM(O15:R15)</f>
        <v>-643.53</v>
      </c>
      <c r="AA15" s="6">
        <f t="shared" ref="AA15:AJ15" si="70">Z15*1.01</f>
        <v>-649.96529999999996</v>
      </c>
      <c r="AB15" s="6">
        <f t="shared" si="70"/>
        <v>-656.46495299999992</v>
      </c>
      <c r="AC15" s="6">
        <f t="shared" si="70"/>
        <v>-663.02960252999992</v>
      </c>
      <c r="AD15" s="6">
        <f t="shared" si="70"/>
        <v>-669.65989855529995</v>
      </c>
      <c r="AE15" s="6">
        <f t="shared" si="70"/>
        <v>-676.35649754085296</v>
      </c>
      <c r="AF15" s="6">
        <f t="shared" si="70"/>
        <v>-683.12006251626144</v>
      </c>
      <c r="AG15" s="6">
        <f t="shared" si="70"/>
        <v>-689.95126314142408</v>
      </c>
      <c r="AH15" s="6">
        <f t="shared" si="70"/>
        <v>-696.85077577283835</v>
      </c>
      <c r="AI15" s="6">
        <f t="shared" si="70"/>
        <v>-703.81928353056674</v>
      </c>
      <c r="AJ15" s="6">
        <f t="shared" si="70"/>
        <v>-710.85747636587246</v>
      </c>
    </row>
    <row r="16" spans="2:36" x14ac:dyDescent="0.3">
      <c r="B16" s="1" t="s">
        <v>26</v>
      </c>
      <c r="C16" s="6">
        <v>85</v>
      </c>
      <c r="D16" s="6">
        <v>87</v>
      </c>
      <c r="G16" s="6">
        <v>170</v>
      </c>
      <c r="H16" s="6">
        <v>187</v>
      </c>
      <c r="I16" s="6">
        <v>206</v>
      </c>
      <c r="J16" s="6">
        <f t="shared" si="67"/>
        <v>202</v>
      </c>
      <c r="K16" s="6">
        <v>220</v>
      </c>
      <c r="L16" s="6">
        <v>250</v>
      </c>
      <c r="M16" s="6">
        <v>297</v>
      </c>
      <c r="N16" s="6">
        <f t="shared" si="68"/>
        <v>291</v>
      </c>
      <c r="O16" s="6">
        <v>286</v>
      </c>
      <c r="P16" s="6">
        <v>330</v>
      </c>
      <c r="Q16" s="6">
        <f>P16*1.01</f>
        <v>333.3</v>
      </c>
      <c r="R16" s="6">
        <f>Q16*1.01</f>
        <v>336.63300000000004</v>
      </c>
      <c r="T16" s="6">
        <v>357</v>
      </c>
      <c r="U16" s="6">
        <v>359</v>
      </c>
      <c r="V16" s="6">
        <v>343</v>
      </c>
      <c r="W16" s="6">
        <v>414</v>
      </c>
      <c r="X16" s="6">
        <v>765</v>
      </c>
      <c r="Y16" s="6">
        <v>1058</v>
      </c>
      <c r="Z16" s="6">
        <f t="shared" si="69"/>
        <v>1285.933</v>
      </c>
      <c r="AA16" s="6">
        <f t="shared" ref="AA16:AJ16" si="71">Z16*1.02</f>
        <v>1311.65166</v>
      </c>
      <c r="AB16" s="6">
        <f t="shared" si="71"/>
        <v>1337.8846932000001</v>
      </c>
      <c r="AC16" s="6">
        <f t="shared" si="71"/>
        <v>1364.6423870640001</v>
      </c>
      <c r="AD16" s="6">
        <f t="shared" si="71"/>
        <v>1391.9352348052801</v>
      </c>
      <c r="AE16" s="6">
        <f t="shared" si="71"/>
        <v>1419.7739395013857</v>
      </c>
      <c r="AF16" s="6">
        <f t="shared" si="71"/>
        <v>1448.1694182914134</v>
      </c>
      <c r="AG16" s="6">
        <f t="shared" si="71"/>
        <v>1477.1328066572416</v>
      </c>
      <c r="AH16" s="6">
        <f t="shared" si="71"/>
        <v>1506.6754627903865</v>
      </c>
      <c r="AI16" s="6">
        <f t="shared" si="71"/>
        <v>1536.8089720461942</v>
      </c>
      <c r="AJ16" s="6">
        <f t="shared" si="71"/>
        <v>1567.5451514871181</v>
      </c>
    </row>
    <row r="17" spans="2:136" x14ac:dyDescent="0.3">
      <c r="B17" s="1" t="s">
        <v>25</v>
      </c>
      <c r="C17" s="6">
        <f t="shared" ref="C17" si="72">SUM(C15:C16)</f>
        <v>-234</v>
      </c>
      <c r="D17" s="6">
        <f t="shared" ref="D17" si="73">SUM(D15:D16)</f>
        <v>-103</v>
      </c>
      <c r="G17" s="6">
        <f t="shared" ref="G17" si="74">SUM(G15:G16)</f>
        <v>-90</v>
      </c>
      <c r="H17" s="6">
        <f t="shared" ref="H17:I17" si="75">SUM(H15:H16)</f>
        <v>-21</v>
      </c>
      <c r="I17" s="6">
        <f t="shared" si="75"/>
        <v>-41</v>
      </c>
      <c r="J17" s="6">
        <f t="shared" ref="J17:K17" si="76">SUM(J15:J16)</f>
        <v>77</v>
      </c>
      <c r="K17" s="6">
        <f t="shared" si="76"/>
        <v>-11</v>
      </c>
      <c r="L17" s="6">
        <f t="shared" ref="L17" si="77">SUM(L15:L16)</f>
        <v>4</v>
      </c>
      <c r="M17" s="6">
        <f t="shared" ref="M17:N17" si="78">SUM(M15:M16)</f>
        <v>34</v>
      </c>
      <c r="N17" s="6">
        <f t="shared" si="78"/>
        <v>201</v>
      </c>
      <c r="O17" s="6">
        <f t="shared" ref="O17:P17" si="79">SUM(O15:O16)</f>
        <v>86</v>
      </c>
      <c r="P17" s="6">
        <f t="shared" si="79"/>
        <v>243</v>
      </c>
      <c r="Q17" s="6">
        <f t="shared" ref="Q17:R17" si="80">SUM(Q15:Q16)</f>
        <v>67.670000000000016</v>
      </c>
      <c r="R17" s="6">
        <f t="shared" si="80"/>
        <v>245.73300000000003</v>
      </c>
      <c r="T17" s="6">
        <f t="shared" ref="T17:Y17" si="81">SUM(T15:T16)</f>
        <v>-708</v>
      </c>
      <c r="U17" s="6">
        <f t="shared" si="81"/>
        <v>-316</v>
      </c>
      <c r="V17" s="6">
        <f t="shared" si="81"/>
        <v>-1035</v>
      </c>
      <c r="W17" s="6">
        <f t="shared" si="81"/>
        <v>48</v>
      </c>
      <c r="X17" s="6">
        <f t="shared" si="81"/>
        <v>-75</v>
      </c>
      <c r="Y17" s="6">
        <f t="shared" si="81"/>
        <v>228</v>
      </c>
      <c r="Z17" s="6">
        <f t="shared" ref="Z17:AJ17" si="82">SUM(Z15:Z16)</f>
        <v>642.40300000000002</v>
      </c>
      <c r="AA17" s="6">
        <f t="shared" si="82"/>
        <v>661.68636000000004</v>
      </c>
      <c r="AB17" s="6">
        <f t="shared" si="82"/>
        <v>681.41974020000021</v>
      </c>
      <c r="AC17" s="6">
        <f t="shared" si="82"/>
        <v>701.61278453400018</v>
      </c>
      <c r="AD17" s="6">
        <f t="shared" si="82"/>
        <v>722.27533624998011</v>
      </c>
      <c r="AE17" s="6">
        <f t="shared" si="82"/>
        <v>743.41744196053276</v>
      </c>
      <c r="AF17" s="6">
        <f t="shared" si="82"/>
        <v>765.04935577515198</v>
      </c>
      <c r="AG17" s="6">
        <f t="shared" si="82"/>
        <v>787.18154351581757</v>
      </c>
      <c r="AH17" s="6">
        <f t="shared" si="82"/>
        <v>809.82468701754817</v>
      </c>
      <c r="AI17" s="6">
        <f t="shared" si="82"/>
        <v>832.98968851562745</v>
      </c>
      <c r="AJ17" s="6">
        <f t="shared" si="82"/>
        <v>856.68767512124566</v>
      </c>
    </row>
    <row r="18" spans="2:136" s="2" customFormat="1" x14ac:dyDescent="0.3">
      <c r="B18" s="2" t="s">
        <v>27</v>
      </c>
      <c r="C18" s="9">
        <f t="shared" ref="C18" si="83">C14-C17</f>
        <v>1505</v>
      </c>
      <c r="D18" s="9">
        <f t="shared" ref="D18" si="84">D14-D17</f>
        <v>1704</v>
      </c>
      <c r="G18" s="9">
        <f t="shared" ref="G18" si="85">G14-G17</f>
        <v>1782</v>
      </c>
      <c r="H18" s="9">
        <f t="shared" ref="H18:I18" si="86">H14-H17</f>
        <v>1904</v>
      </c>
      <c r="I18" s="9">
        <f t="shared" si="86"/>
        <v>1967</v>
      </c>
      <c r="J18" s="9">
        <f t="shared" ref="J18:K18" si="87">J14-J17</f>
        <v>1506</v>
      </c>
      <c r="K18" s="9">
        <f t="shared" si="87"/>
        <v>1871</v>
      </c>
      <c r="L18" s="9">
        <f t="shared" ref="L18:M18" si="88">L14-L17</f>
        <v>1974</v>
      </c>
      <c r="M18" s="9">
        <f t="shared" si="88"/>
        <v>1824</v>
      </c>
      <c r="N18" s="9">
        <f t="shared" ref="N18" si="89">N14-N17</f>
        <v>1544</v>
      </c>
      <c r="O18" s="9">
        <f t="shared" ref="O18:P18" si="90">O14-O17</f>
        <v>1884</v>
      </c>
      <c r="P18" s="9">
        <f t="shared" si="90"/>
        <v>1871</v>
      </c>
      <c r="Q18" s="9">
        <f t="shared" ref="Q18:R18" si="91">Q14-Q17</f>
        <v>2173.0283999999997</v>
      </c>
      <c r="R18" s="9">
        <f t="shared" si="91"/>
        <v>1757.7253999999984</v>
      </c>
      <c r="T18" s="9">
        <f t="shared" ref="T18:Y18" si="92">T14-T17</f>
        <v>7559</v>
      </c>
      <c r="U18" s="9">
        <f t="shared" si="92"/>
        <v>6012</v>
      </c>
      <c r="V18" s="9">
        <f t="shared" si="92"/>
        <v>7235</v>
      </c>
      <c r="W18" s="9">
        <f t="shared" si="92"/>
        <v>6379</v>
      </c>
      <c r="X18" s="9">
        <f t="shared" si="92"/>
        <v>7159</v>
      </c>
      <c r="Y18" s="9">
        <f t="shared" si="92"/>
        <v>7213</v>
      </c>
      <c r="Z18" s="9">
        <f t="shared" ref="Z18:AJ18" si="93">Z14-Z17</f>
        <v>7685.7538000000004</v>
      </c>
      <c r="AA18" s="9">
        <f t="shared" si="93"/>
        <v>8196.0300160000043</v>
      </c>
      <c r="AB18" s="9">
        <f t="shared" si="93"/>
        <v>8753.9430096000051</v>
      </c>
      <c r="AC18" s="9">
        <f t="shared" si="93"/>
        <v>9314.4945197580037</v>
      </c>
      <c r="AD18" s="9">
        <f t="shared" si="93"/>
        <v>9739.3076273527768</v>
      </c>
      <c r="AE18" s="9">
        <f t="shared" si="93"/>
        <v>10063.087576004451</v>
      </c>
      <c r="AF18" s="9">
        <f t="shared" si="93"/>
        <v>10201.719251722954</v>
      </c>
      <c r="AG18" s="9">
        <f t="shared" si="93"/>
        <v>10342.497260197822</v>
      </c>
      <c r="AH18" s="9">
        <f t="shared" si="93"/>
        <v>10485.458265076573</v>
      </c>
      <c r="AI18" s="9">
        <f t="shared" si="93"/>
        <v>10630.63960064966</v>
      </c>
      <c r="AJ18" s="9">
        <f t="shared" si="93"/>
        <v>10778.079284636915</v>
      </c>
    </row>
    <row r="19" spans="2:136" x14ac:dyDescent="0.3">
      <c r="B19" s="1" t="s">
        <v>28</v>
      </c>
      <c r="C19" s="6">
        <v>371</v>
      </c>
      <c r="D19" s="6">
        <v>441</v>
      </c>
      <c r="G19" s="6">
        <v>374</v>
      </c>
      <c r="H19" s="6">
        <v>403</v>
      </c>
      <c r="I19" s="6">
        <v>452</v>
      </c>
      <c r="J19" s="6">
        <f t="shared" ref="J19:J20" si="94">X19-I19-H19-G19</f>
        <v>258</v>
      </c>
      <c r="K19" s="6">
        <v>396</v>
      </c>
      <c r="L19" s="6">
        <v>414</v>
      </c>
      <c r="M19" s="6">
        <v>409</v>
      </c>
      <c r="N19" s="6">
        <f t="shared" ref="N19:N20" si="95">Y19-M19-L19-K19</f>
        <v>254</v>
      </c>
      <c r="O19" s="6">
        <v>417</v>
      </c>
      <c r="P19" s="6">
        <v>302</v>
      </c>
      <c r="Q19" s="6">
        <f>Q18*0.18</f>
        <v>391.14511199999993</v>
      </c>
      <c r="R19" s="6">
        <f>R18*0.18</f>
        <v>316.39057199999974</v>
      </c>
      <c r="T19" s="6">
        <v>1329</v>
      </c>
      <c r="U19" s="6">
        <v>1147</v>
      </c>
      <c r="V19" s="6">
        <v>1625</v>
      </c>
      <c r="W19" s="6">
        <v>1412</v>
      </c>
      <c r="X19" s="6">
        <v>1487</v>
      </c>
      <c r="Y19" s="6">
        <v>1473</v>
      </c>
      <c r="Z19" s="6">
        <f t="shared" ref="Z19:Z20" si="96">SUM(O19:R19)</f>
        <v>1426.5356839999997</v>
      </c>
      <c r="AA19" s="6">
        <f t="shared" ref="AA19:AJ19" si="97">AA18*0.21</f>
        <v>1721.1663033600009</v>
      </c>
      <c r="AB19" s="6">
        <f t="shared" si="97"/>
        <v>1838.3280320160011</v>
      </c>
      <c r="AC19" s="6">
        <f t="shared" si="97"/>
        <v>1956.0438491491807</v>
      </c>
      <c r="AD19" s="6">
        <f t="shared" si="97"/>
        <v>2045.2546017440829</v>
      </c>
      <c r="AE19" s="6">
        <f t="shared" si="97"/>
        <v>2113.2483909609346</v>
      </c>
      <c r="AF19" s="6">
        <f t="shared" si="97"/>
        <v>2142.3610428618204</v>
      </c>
      <c r="AG19" s="6">
        <f t="shared" si="97"/>
        <v>2171.9244246415428</v>
      </c>
      <c r="AH19" s="6">
        <f t="shared" si="97"/>
        <v>2201.9462356660802</v>
      </c>
      <c r="AI19" s="6">
        <f t="shared" si="97"/>
        <v>2232.4343161364286</v>
      </c>
      <c r="AJ19" s="6">
        <f t="shared" si="97"/>
        <v>2263.396649773752</v>
      </c>
    </row>
    <row r="20" spans="2:136" x14ac:dyDescent="0.3">
      <c r="B20" s="1" t="s">
        <v>29</v>
      </c>
      <c r="C20" s="6">
        <v>0</v>
      </c>
      <c r="D20" s="6">
        <v>2</v>
      </c>
      <c r="G20" s="6">
        <v>14</v>
      </c>
      <c r="H20" s="6">
        <v>14</v>
      </c>
      <c r="I20" s="6">
        <v>1</v>
      </c>
      <c r="J20" s="6">
        <f t="shared" si="94"/>
        <v>-15</v>
      </c>
      <c r="K20" s="6">
        <v>12</v>
      </c>
      <c r="L20" s="6">
        <v>16</v>
      </c>
      <c r="M20" s="6">
        <v>2</v>
      </c>
      <c r="N20" s="6">
        <f t="shared" si="95"/>
        <v>5</v>
      </c>
      <c r="O20" s="6">
        <v>18</v>
      </c>
      <c r="P20" s="6">
        <v>-1</v>
      </c>
      <c r="Q20" s="6">
        <v>0</v>
      </c>
      <c r="R20" s="6">
        <v>0</v>
      </c>
      <c r="T20" s="6">
        <v>87</v>
      </c>
      <c r="U20" s="6">
        <v>86</v>
      </c>
      <c r="V20" s="6">
        <v>68</v>
      </c>
      <c r="W20" s="6">
        <v>1</v>
      </c>
      <c r="X20" s="6">
        <v>14</v>
      </c>
      <c r="Y20" s="6">
        <v>35</v>
      </c>
      <c r="Z20" s="6">
        <f t="shared" si="96"/>
        <v>17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</row>
    <row r="21" spans="2:136" s="2" customFormat="1" x14ac:dyDescent="0.3">
      <c r="B21" s="2" t="s">
        <v>30</v>
      </c>
      <c r="C21" s="9">
        <f t="shared" ref="C21" si="98">C18-C19-C20</f>
        <v>1134</v>
      </c>
      <c r="D21" s="9">
        <f t="shared" ref="D21" si="99">D18-D19-D20</f>
        <v>1261</v>
      </c>
      <c r="G21" s="9">
        <f t="shared" ref="G21" si="100">G18-G19-G20</f>
        <v>1394</v>
      </c>
      <c r="H21" s="9">
        <f t="shared" ref="H21:I21" si="101">H18-H19-H20</f>
        <v>1487</v>
      </c>
      <c r="I21" s="9">
        <f t="shared" si="101"/>
        <v>1514</v>
      </c>
      <c r="J21" s="9">
        <f t="shared" ref="J21:K21" si="102">J18-J19-J20</f>
        <v>1263</v>
      </c>
      <c r="K21" s="9">
        <f t="shared" si="102"/>
        <v>1463</v>
      </c>
      <c r="L21" s="9">
        <f t="shared" ref="L21:M21" si="103">L18-L19-L20</f>
        <v>1544</v>
      </c>
      <c r="M21" s="9">
        <f t="shared" si="103"/>
        <v>1413</v>
      </c>
      <c r="N21" s="9">
        <f t="shared" ref="N21" si="104">N18-N19-N20</f>
        <v>1285</v>
      </c>
      <c r="O21" s="9">
        <f t="shared" ref="O21:P21" si="105">O18-O19-O20</f>
        <v>1449</v>
      </c>
      <c r="P21" s="9">
        <f t="shared" si="105"/>
        <v>1570</v>
      </c>
      <c r="Q21" s="9">
        <f t="shared" ref="Q21:R21" si="106">Q18-Q19-Q20</f>
        <v>1781.8832879999998</v>
      </c>
      <c r="R21" s="9">
        <f t="shared" si="106"/>
        <v>1441.3348279999987</v>
      </c>
      <c r="T21" s="9">
        <f t="shared" ref="T21:Y21" si="107">T18-T19-T20</f>
        <v>6143</v>
      </c>
      <c r="U21" s="9">
        <f t="shared" si="107"/>
        <v>4779</v>
      </c>
      <c r="V21" s="9">
        <f t="shared" si="107"/>
        <v>5542</v>
      </c>
      <c r="W21" s="9">
        <f t="shared" si="107"/>
        <v>4966</v>
      </c>
      <c r="X21" s="9">
        <f t="shared" si="107"/>
        <v>5658</v>
      </c>
      <c r="Y21" s="9">
        <f t="shared" si="107"/>
        <v>5705</v>
      </c>
      <c r="Z21" s="9">
        <f t="shared" ref="Z21:AJ21" si="108">Z18-Z19-Z20</f>
        <v>6242.2181160000009</v>
      </c>
      <c r="AA21" s="9">
        <f t="shared" si="108"/>
        <v>6474.8637126400035</v>
      </c>
      <c r="AB21" s="9">
        <f t="shared" si="108"/>
        <v>6915.614977584004</v>
      </c>
      <c r="AC21" s="9">
        <f t="shared" si="108"/>
        <v>7358.4506706088232</v>
      </c>
      <c r="AD21" s="9">
        <f t="shared" si="108"/>
        <v>7694.053025608694</v>
      </c>
      <c r="AE21" s="9">
        <f t="shared" si="108"/>
        <v>7949.8391850435164</v>
      </c>
      <c r="AF21" s="9">
        <f t="shared" si="108"/>
        <v>8059.3582088611338</v>
      </c>
      <c r="AG21" s="9">
        <f t="shared" si="108"/>
        <v>8170.5728355562796</v>
      </c>
      <c r="AH21" s="9">
        <f t="shared" si="108"/>
        <v>8283.5120294104927</v>
      </c>
      <c r="AI21" s="9">
        <f t="shared" si="108"/>
        <v>8398.2052845132312</v>
      </c>
      <c r="AJ21" s="9">
        <f t="shared" si="108"/>
        <v>8514.6826348631621</v>
      </c>
      <c r="AK21" s="2">
        <f>AJ21*(1+$AM$26)</f>
        <v>8429.5358085145308</v>
      </c>
      <c r="AL21" s="2">
        <f t="shared" ref="AL21:CW21" si="109">AK21*(1+$AM$26)</f>
        <v>8345.2404504293845</v>
      </c>
      <c r="AM21" s="2">
        <f t="shared" si="109"/>
        <v>8261.78804592509</v>
      </c>
      <c r="AN21" s="2">
        <f t="shared" si="109"/>
        <v>8179.1701654658391</v>
      </c>
      <c r="AO21" s="2">
        <f t="shared" si="109"/>
        <v>8097.3784638111811</v>
      </c>
      <c r="AP21" s="2">
        <f t="shared" si="109"/>
        <v>8016.4046791730689</v>
      </c>
      <c r="AQ21" s="2">
        <f t="shared" si="109"/>
        <v>7936.2406323813384</v>
      </c>
      <c r="AR21" s="2">
        <f t="shared" si="109"/>
        <v>7856.8782260575254</v>
      </c>
      <c r="AS21" s="2">
        <f t="shared" si="109"/>
        <v>7778.3094437969503</v>
      </c>
      <c r="AT21" s="2">
        <f t="shared" si="109"/>
        <v>7700.526349358981</v>
      </c>
      <c r="AU21" s="2">
        <f t="shared" si="109"/>
        <v>7623.5210858653909</v>
      </c>
      <c r="AV21" s="2">
        <f t="shared" si="109"/>
        <v>7547.2858750067371</v>
      </c>
      <c r="AW21" s="2">
        <f t="shared" si="109"/>
        <v>7471.8130162566695</v>
      </c>
      <c r="AX21" s="2">
        <f t="shared" si="109"/>
        <v>7397.0948860941025</v>
      </c>
      <c r="AY21" s="2">
        <f t="shared" si="109"/>
        <v>7323.1239372331611</v>
      </c>
      <c r="AZ21" s="2">
        <f t="shared" si="109"/>
        <v>7249.8926978608297</v>
      </c>
      <c r="BA21" s="2">
        <f t="shared" si="109"/>
        <v>7177.3937708822214</v>
      </c>
      <c r="BB21" s="2">
        <f t="shared" si="109"/>
        <v>7105.6198331733995</v>
      </c>
      <c r="BC21" s="2">
        <f t="shared" si="109"/>
        <v>7034.5636348416656</v>
      </c>
      <c r="BD21" s="2">
        <f t="shared" si="109"/>
        <v>6964.2179984932491</v>
      </c>
      <c r="BE21" s="2">
        <f t="shared" si="109"/>
        <v>6894.5758185083168</v>
      </c>
      <c r="BF21" s="2">
        <f t="shared" si="109"/>
        <v>6825.6300603232339</v>
      </c>
      <c r="BG21" s="2">
        <f t="shared" si="109"/>
        <v>6757.3737597200015</v>
      </c>
      <c r="BH21" s="2">
        <f t="shared" si="109"/>
        <v>6689.8000221228012</v>
      </c>
      <c r="BI21" s="2">
        <f t="shared" si="109"/>
        <v>6622.9020219015729</v>
      </c>
      <c r="BJ21" s="2">
        <f t="shared" si="109"/>
        <v>6556.6730016825568</v>
      </c>
      <c r="BK21" s="2">
        <f t="shared" si="109"/>
        <v>6491.1062716657316</v>
      </c>
      <c r="BL21" s="2">
        <f t="shared" si="109"/>
        <v>6426.1952089490742</v>
      </c>
      <c r="BM21" s="2">
        <f t="shared" si="109"/>
        <v>6361.9332568595837</v>
      </c>
      <c r="BN21" s="2">
        <f t="shared" si="109"/>
        <v>6298.3139242909874</v>
      </c>
      <c r="BO21" s="2">
        <f t="shared" si="109"/>
        <v>6235.3307850480778</v>
      </c>
      <c r="BP21" s="2">
        <f t="shared" si="109"/>
        <v>6172.9774771975972</v>
      </c>
      <c r="BQ21" s="2">
        <f t="shared" si="109"/>
        <v>6111.2477024256214</v>
      </c>
      <c r="BR21" s="2">
        <f t="shared" si="109"/>
        <v>6050.1352254013655</v>
      </c>
      <c r="BS21" s="2">
        <f t="shared" si="109"/>
        <v>5989.6338731473516</v>
      </c>
      <c r="BT21" s="2">
        <f t="shared" si="109"/>
        <v>5929.7375344158781</v>
      </c>
      <c r="BU21" s="2">
        <f t="shared" si="109"/>
        <v>5870.4401590717189</v>
      </c>
      <c r="BV21" s="2">
        <f t="shared" si="109"/>
        <v>5811.7357574810012</v>
      </c>
      <c r="BW21" s="2">
        <f t="shared" si="109"/>
        <v>5753.6183999061914</v>
      </c>
      <c r="BX21" s="2">
        <f t="shared" si="109"/>
        <v>5696.0822159071295</v>
      </c>
      <c r="BY21" s="2">
        <f t="shared" si="109"/>
        <v>5639.1213937480579</v>
      </c>
      <c r="BZ21" s="2">
        <f t="shared" si="109"/>
        <v>5582.7301798105773</v>
      </c>
      <c r="CA21" s="2">
        <f t="shared" si="109"/>
        <v>5526.9028780124718</v>
      </c>
      <c r="CB21" s="2">
        <f t="shared" si="109"/>
        <v>5471.6338492323466</v>
      </c>
      <c r="CC21" s="2">
        <f t="shared" si="109"/>
        <v>5416.9175107400233</v>
      </c>
      <c r="CD21" s="2">
        <f t="shared" si="109"/>
        <v>5362.7483356326229</v>
      </c>
      <c r="CE21" s="2">
        <f t="shared" si="109"/>
        <v>5309.1208522762963</v>
      </c>
      <c r="CF21" s="2">
        <f t="shared" si="109"/>
        <v>5256.0296437535335</v>
      </c>
      <c r="CG21" s="2">
        <f t="shared" si="109"/>
        <v>5203.4693473159978</v>
      </c>
      <c r="CH21" s="2">
        <f t="shared" si="109"/>
        <v>5151.4346538428381</v>
      </c>
      <c r="CI21" s="2">
        <f t="shared" si="109"/>
        <v>5099.92030730441</v>
      </c>
      <c r="CJ21" s="2">
        <f t="shared" si="109"/>
        <v>5048.9211042313655</v>
      </c>
      <c r="CK21" s="2">
        <f t="shared" si="109"/>
        <v>4998.4318931890521</v>
      </c>
      <c r="CL21" s="2">
        <f t="shared" si="109"/>
        <v>4948.4475742571612</v>
      </c>
      <c r="CM21" s="2">
        <f t="shared" si="109"/>
        <v>4898.9630985145895</v>
      </c>
      <c r="CN21" s="2">
        <f t="shared" si="109"/>
        <v>4849.973467529444</v>
      </c>
      <c r="CO21" s="2">
        <f t="shared" si="109"/>
        <v>4801.4737328541496</v>
      </c>
      <c r="CP21" s="2">
        <f t="shared" si="109"/>
        <v>4753.4589955256079</v>
      </c>
      <c r="CQ21" s="2">
        <f t="shared" si="109"/>
        <v>4705.9244055703521</v>
      </c>
      <c r="CR21" s="2">
        <f t="shared" si="109"/>
        <v>4658.8651615146482</v>
      </c>
      <c r="CS21" s="2">
        <f t="shared" si="109"/>
        <v>4612.2765098995014</v>
      </c>
      <c r="CT21" s="2">
        <f t="shared" si="109"/>
        <v>4566.1537448005065</v>
      </c>
      <c r="CU21" s="2">
        <f t="shared" si="109"/>
        <v>4520.4922073525013</v>
      </c>
      <c r="CV21" s="2">
        <f t="shared" si="109"/>
        <v>4475.287285278976</v>
      </c>
      <c r="CW21" s="2">
        <f t="shared" si="109"/>
        <v>4430.5344124261865</v>
      </c>
      <c r="CX21" s="2">
        <f t="shared" ref="CX21:EF21" si="110">CW21*(1+$AM$26)</f>
        <v>4386.2290683019246</v>
      </c>
      <c r="CY21" s="2">
        <f t="shared" si="110"/>
        <v>4342.366777618905</v>
      </c>
      <c r="CZ21" s="2">
        <f t="shared" si="110"/>
        <v>4298.9431098427158</v>
      </c>
      <c r="DA21" s="2">
        <f t="shared" si="110"/>
        <v>4255.9536787442885</v>
      </c>
      <c r="DB21" s="2">
        <f t="shared" si="110"/>
        <v>4213.3941419568455</v>
      </c>
      <c r="DC21" s="2">
        <f t="shared" si="110"/>
        <v>4171.2602005372773</v>
      </c>
      <c r="DD21" s="2">
        <f t="shared" si="110"/>
        <v>4129.5475985319044</v>
      </c>
      <c r="DE21" s="2">
        <f t="shared" si="110"/>
        <v>4088.2521225465853</v>
      </c>
      <c r="DF21" s="2">
        <f t="shared" si="110"/>
        <v>4047.3696013211193</v>
      </c>
      <c r="DG21" s="2">
        <f t="shared" si="110"/>
        <v>4006.8959053079079</v>
      </c>
      <c r="DH21" s="2">
        <f t="shared" si="110"/>
        <v>3966.8269462548287</v>
      </c>
      <c r="DI21" s="2">
        <f t="shared" si="110"/>
        <v>3927.1586767922804</v>
      </c>
      <c r="DJ21" s="2">
        <f t="shared" si="110"/>
        <v>3887.8870900243573</v>
      </c>
      <c r="DK21" s="2">
        <f t="shared" si="110"/>
        <v>3849.0082191241136</v>
      </c>
      <c r="DL21" s="2">
        <f t="shared" si="110"/>
        <v>3810.5181369328725</v>
      </c>
      <c r="DM21" s="2">
        <f t="shared" si="110"/>
        <v>3772.4129555635436</v>
      </c>
      <c r="DN21" s="2">
        <f t="shared" si="110"/>
        <v>3734.6888260079081</v>
      </c>
      <c r="DO21" s="2">
        <f t="shared" si="110"/>
        <v>3697.341937747829</v>
      </c>
      <c r="DP21" s="2">
        <f t="shared" si="110"/>
        <v>3660.3685183703506</v>
      </c>
      <c r="DQ21" s="2">
        <f t="shared" si="110"/>
        <v>3623.7648331866471</v>
      </c>
      <c r="DR21" s="2">
        <f t="shared" si="110"/>
        <v>3587.5271848547804</v>
      </c>
      <c r="DS21" s="2">
        <f t="shared" si="110"/>
        <v>3551.6519130062325</v>
      </c>
      <c r="DT21" s="2">
        <f t="shared" si="110"/>
        <v>3516.1353938761699</v>
      </c>
      <c r="DU21" s="2">
        <f t="shared" si="110"/>
        <v>3480.9740399374082</v>
      </c>
      <c r="DV21" s="2">
        <f t="shared" si="110"/>
        <v>3446.1642995380339</v>
      </c>
      <c r="DW21" s="2">
        <f t="shared" si="110"/>
        <v>3411.7026565426536</v>
      </c>
      <c r="DX21" s="2">
        <f t="shared" si="110"/>
        <v>3377.5856299772272</v>
      </c>
      <c r="DY21" s="2">
        <f t="shared" si="110"/>
        <v>3343.8097736774548</v>
      </c>
      <c r="DZ21" s="2">
        <f t="shared" si="110"/>
        <v>3310.3716759406802</v>
      </c>
      <c r="EA21" s="2">
        <f t="shared" si="110"/>
        <v>3277.2679591812735</v>
      </c>
      <c r="EB21" s="2">
        <f t="shared" si="110"/>
        <v>3244.4952795894606</v>
      </c>
      <c r="EC21" s="2">
        <f t="shared" si="110"/>
        <v>3212.050326793566</v>
      </c>
      <c r="ED21" s="2">
        <f t="shared" si="110"/>
        <v>3179.9298235256301</v>
      </c>
      <c r="EE21" s="2">
        <f t="shared" si="110"/>
        <v>3148.130525290374</v>
      </c>
      <c r="EF21" s="2">
        <f t="shared" si="110"/>
        <v>3116.6492200374701</v>
      </c>
    </row>
    <row r="22" spans="2:136" x14ac:dyDescent="0.3">
      <c r="B22" s="1" t="s">
        <v>2</v>
      </c>
      <c r="C22" s="6">
        <f>637.5</f>
        <v>637.5</v>
      </c>
      <c r="D22" s="6">
        <f>637.5</f>
        <v>637.5</v>
      </c>
      <c r="G22" s="6">
        <f t="shared" ref="G22:R22" si="111">637.5</f>
        <v>637.5</v>
      </c>
      <c r="H22" s="6">
        <f t="shared" si="111"/>
        <v>637.5</v>
      </c>
      <c r="I22" s="6">
        <f t="shared" si="111"/>
        <v>637.5</v>
      </c>
      <c r="J22" s="6">
        <f t="shared" si="111"/>
        <v>637.5</v>
      </c>
      <c r="K22" s="6">
        <f t="shared" si="111"/>
        <v>637.5</v>
      </c>
      <c r="L22" s="6">
        <f t="shared" si="111"/>
        <v>637.5</v>
      </c>
      <c r="M22" s="6">
        <f t="shared" si="111"/>
        <v>637.5</v>
      </c>
      <c r="N22" s="6">
        <f t="shared" si="111"/>
        <v>637.5</v>
      </c>
      <c r="O22" s="6">
        <f t="shared" si="111"/>
        <v>637.5</v>
      </c>
      <c r="P22" s="6">
        <f t="shared" si="111"/>
        <v>637.5</v>
      </c>
      <c r="Q22" s="6">
        <f t="shared" si="111"/>
        <v>637.5</v>
      </c>
      <c r="R22" s="6">
        <f t="shared" si="111"/>
        <v>637.5</v>
      </c>
      <c r="T22" s="6">
        <f t="shared" ref="T22:Y22" si="112">649.9</f>
        <v>649.9</v>
      </c>
      <c r="U22" s="6">
        <f t="shared" si="112"/>
        <v>649.9</v>
      </c>
      <c r="V22" s="6">
        <f t="shared" si="112"/>
        <v>649.9</v>
      </c>
      <c r="W22" s="6">
        <f t="shared" si="112"/>
        <v>649.9</v>
      </c>
      <c r="X22" s="6">
        <f t="shared" si="112"/>
        <v>649.9</v>
      </c>
      <c r="Y22" s="6">
        <f t="shared" si="112"/>
        <v>649.9</v>
      </c>
      <c r="Z22" s="6">
        <f t="shared" ref="Z22:AJ22" si="113">637.5</f>
        <v>637.5</v>
      </c>
      <c r="AA22" s="6">
        <f t="shared" si="113"/>
        <v>637.5</v>
      </c>
      <c r="AB22" s="6">
        <f t="shared" si="113"/>
        <v>637.5</v>
      </c>
      <c r="AC22" s="6">
        <f t="shared" si="113"/>
        <v>637.5</v>
      </c>
      <c r="AD22" s="6">
        <f t="shared" si="113"/>
        <v>637.5</v>
      </c>
      <c r="AE22" s="6">
        <f t="shared" si="113"/>
        <v>637.5</v>
      </c>
      <c r="AF22" s="6">
        <f t="shared" si="113"/>
        <v>637.5</v>
      </c>
      <c r="AG22" s="6">
        <f t="shared" si="113"/>
        <v>637.5</v>
      </c>
      <c r="AH22" s="6">
        <f t="shared" si="113"/>
        <v>637.5</v>
      </c>
      <c r="AI22" s="6">
        <f t="shared" si="113"/>
        <v>637.5</v>
      </c>
      <c r="AJ22" s="6">
        <f t="shared" si="113"/>
        <v>637.5</v>
      </c>
    </row>
    <row r="23" spans="2:136" x14ac:dyDescent="0.3">
      <c r="B23" s="1" t="s">
        <v>31</v>
      </c>
      <c r="C23" s="8">
        <f t="shared" ref="C23" si="114">C21/C22</f>
        <v>1.7788235294117647</v>
      </c>
      <c r="D23" s="8">
        <f t="shared" ref="D23" si="115">D21/D22</f>
        <v>1.9780392156862745</v>
      </c>
      <c r="G23" s="8">
        <f t="shared" ref="G23" si="116">G21/G22</f>
        <v>2.1866666666666665</v>
      </c>
      <c r="H23" s="8">
        <f t="shared" ref="H23:I23" si="117">H21/H22</f>
        <v>2.3325490196078431</v>
      </c>
      <c r="I23" s="8">
        <f t="shared" si="117"/>
        <v>2.3749019607843138</v>
      </c>
      <c r="J23" s="8">
        <f t="shared" ref="J23:K23" si="118">J21/J22</f>
        <v>1.9811764705882353</v>
      </c>
      <c r="K23" s="8">
        <f t="shared" si="118"/>
        <v>2.2949019607843137</v>
      </c>
      <c r="L23" s="8">
        <f t="shared" ref="L23:M23" si="119">L21/L22</f>
        <v>2.4219607843137254</v>
      </c>
      <c r="M23" s="8">
        <f t="shared" si="119"/>
        <v>2.216470588235294</v>
      </c>
      <c r="N23" s="8">
        <f t="shared" ref="N23" si="120">N21/N22</f>
        <v>2.0156862745098039</v>
      </c>
      <c r="O23" s="8">
        <f t="shared" ref="O23:P23" si="121">O21/O22</f>
        <v>2.2729411764705882</v>
      </c>
      <c r="P23" s="8">
        <f t="shared" si="121"/>
        <v>2.4627450980392158</v>
      </c>
      <c r="Q23" s="8">
        <f t="shared" ref="Q23:R23" si="122">Q21/Q22</f>
        <v>2.7951110399999997</v>
      </c>
      <c r="R23" s="8">
        <f t="shared" si="122"/>
        <v>2.2609173772548998</v>
      </c>
      <c r="T23" s="8">
        <f t="shared" ref="T23:Y23" si="123">T21/T22</f>
        <v>9.4522234189875363</v>
      </c>
      <c r="U23" s="8">
        <f t="shared" si="123"/>
        <v>7.3534389906139408</v>
      </c>
      <c r="V23" s="8">
        <f t="shared" si="123"/>
        <v>8.5274657639636864</v>
      </c>
      <c r="W23" s="8">
        <f t="shared" si="123"/>
        <v>7.6411755654716114</v>
      </c>
      <c r="X23" s="8">
        <f t="shared" si="123"/>
        <v>8.7059547622711193</v>
      </c>
      <c r="Y23" s="8">
        <f t="shared" si="123"/>
        <v>8.778273580550854</v>
      </c>
      <c r="Z23" s="8">
        <f t="shared" ref="Z23:AJ23" si="124">Z21/Z22</f>
        <v>9.7917146917647067</v>
      </c>
      <c r="AA23" s="8">
        <f t="shared" si="124"/>
        <v>10.156648961003928</v>
      </c>
      <c r="AB23" s="8">
        <f t="shared" si="124"/>
        <v>10.848023494249418</v>
      </c>
      <c r="AC23" s="8">
        <f t="shared" si="124"/>
        <v>11.542667718602075</v>
      </c>
      <c r="AD23" s="8">
        <f t="shared" si="124"/>
        <v>12.069102785268539</v>
      </c>
      <c r="AE23" s="8">
        <f t="shared" si="124"/>
        <v>12.470335976538848</v>
      </c>
      <c r="AF23" s="8">
        <f t="shared" si="124"/>
        <v>12.64213052370374</v>
      </c>
      <c r="AG23" s="8">
        <f t="shared" si="124"/>
        <v>12.816584840088282</v>
      </c>
      <c r="AH23" s="8">
        <f t="shared" si="124"/>
        <v>12.993744359859596</v>
      </c>
      <c r="AI23" s="8">
        <f t="shared" si="124"/>
        <v>13.173655348256048</v>
      </c>
      <c r="AJ23" s="8">
        <f t="shared" si="124"/>
        <v>13.356364917432412</v>
      </c>
    </row>
    <row r="25" spans="2:136" x14ac:dyDescent="0.3">
      <c r="B25" s="1" t="s">
        <v>47</v>
      </c>
      <c r="C25" s="10"/>
      <c r="D25" s="10"/>
      <c r="G25" s="10">
        <f>G3/C3-1</f>
        <v>2.9028049575994697E-2</v>
      </c>
      <c r="H25" s="10">
        <f>H3/D3-1</f>
        <v>-3.6355475763016121E-2</v>
      </c>
      <c r="I25" s="10"/>
      <c r="J25" s="10"/>
      <c r="K25" s="10">
        <f t="shared" ref="K25:L26" si="125">K3/G3-1</f>
        <v>-7.4484944532487996E-3</v>
      </c>
      <c r="L25" s="10">
        <f t="shared" si="125"/>
        <v>5.5891942244992165E-3</v>
      </c>
      <c r="M25" s="10">
        <f>M3/I3-1</f>
        <v>4.7028916428344392E-2</v>
      </c>
      <c r="N25" s="10">
        <f>N3/J3-1</f>
        <v>3.2847800237812086E-2</v>
      </c>
      <c r="O25" s="10">
        <f>O3/K3-1</f>
        <v>6.0993134280696193E-2</v>
      </c>
      <c r="P25" s="10">
        <f>P3/L3-1</f>
        <v>9.911996294580816E-2</v>
      </c>
      <c r="Q25" s="10">
        <f t="shared" ref="Q25:R26" si="126">Q3/M3-1</f>
        <v>0.10000000000000009</v>
      </c>
      <c r="R25" s="10">
        <f t="shared" si="126"/>
        <v>8.0000000000000071E-2</v>
      </c>
      <c r="T25" s="10"/>
      <c r="U25" s="10">
        <f t="shared" ref="U25:Y27" si="127">U3/T3-1</f>
        <v>-0.10467262658800536</v>
      </c>
      <c r="V25" s="10">
        <f t="shared" si="127"/>
        <v>3.6625298136394813E-2</v>
      </c>
      <c r="W25" s="10">
        <f t="shared" si="127"/>
        <v>1.2362048122294578E-2</v>
      </c>
      <c r="X25" s="10">
        <f t="shared" si="127"/>
        <v>-7.2033898305084998E-3</v>
      </c>
      <c r="Y25" s="10">
        <f t="shared" si="127"/>
        <v>1.9632949210413919E-2</v>
      </c>
      <c r="Z25" s="10">
        <f t="shared" ref="Z25:Z27" si="128">Z3/Y3-1</f>
        <v>8.519806689752274E-2</v>
      </c>
      <c r="AA25" s="10">
        <f t="shared" ref="AA25:AA27" si="129">AA3/Z3-1</f>
        <v>6.0000000000000053E-2</v>
      </c>
      <c r="AB25" s="10">
        <f t="shared" ref="AB25:AB27" si="130">AB3/AA3-1</f>
        <v>5.0000000000000044E-2</v>
      </c>
      <c r="AC25" s="10">
        <f t="shared" ref="AC25:AC27" si="131">AC3/AB3-1</f>
        <v>4.0000000000000036E-2</v>
      </c>
      <c r="AD25" s="10">
        <f t="shared" ref="AD25:AD27" si="132">AD3/AC3-1</f>
        <v>3.0000000000000027E-2</v>
      </c>
      <c r="AE25" s="10">
        <f t="shared" ref="AE25:AE27" si="133">AE3/AD3-1</f>
        <v>2.0000000000000018E-2</v>
      </c>
      <c r="AF25" s="10">
        <f t="shared" ref="AF25:AF27" si="134">AF3/AE3-1</f>
        <v>1.0000000000000009E-2</v>
      </c>
      <c r="AG25" s="10">
        <f t="shared" ref="AG25:AG27" si="135">AG3/AF3-1</f>
        <v>1.0000000000000009E-2</v>
      </c>
      <c r="AH25" s="10">
        <f t="shared" ref="AH25:AH27" si="136">AH3/AG3-1</f>
        <v>1.0000000000000009E-2</v>
      </c>
      <c r="AI25" s="10">
        <f t="shared" ref="AI25:AI27" si="137">AI3/AH3-1</f>
        <v>1.0000000000000009E-2</v>
      </c>
      <c r="AJ25" s="10">
        <f t="shared" ref="AJ25:AJ27" si="138">AJ3/AI3-1</f>
        <v>1.0000000000000009E-2</v>
      </c>
    </row>
    <row r="26" spans="2:136" x14ac:dyDescent="0.3">
      <c r="B26" s="1" t="s">
        <v>48</v>
      </c>
      <c r="C26" s="10"/>
      <c r="D26" s="10"/>
      <c r="G26" s="10">
        <f t="shared" ref="G26:H26" si="139">G4/C4-1</f>
        <v>0.1381461675579323</v>
      </c>
      <c r="H26" s="10">
        <f t="shared" si="139"/>
        <v>0.19215513442044951</v>
      </c>
      <c r="I26" s="10"/>
      <c r="J26" s="10"/>
      <c r="K26" s="10">
        <f t="shared" si="125"/>
        <v>0.11276429130775245</v>
      </c>
      <c r="L26" s="10">
        <f t="shared" si="125"/>
        <v>0.14602587800369693</v>
      </c>
      <c r="M26" s="10">
        <f t="shared" ref="M26:P26" si="140">M4/I4-1</f>
        <v>7.5394105551747748E-2</v>
      </c>
      <c r="N26" s="10">
        <f t="shared" si="140"/>
        <v>0.15744837758112085</v>
      </c>
      <c r="O26" s="10">
        <f t="shared" si="140"/>
        <v>0.11787473610133703</v>
      </c>
      <c r="P26" s="10">
        <f t="shared" si="140"/>
        <v>4.2903225806451672E-2</v>
      </c>
      <c r="Q26" s="10">
        <f t="shared" si="126"/>
        <v>8.0000000000000071E-2</v>
      </c>
      <c r="R26" s="10">
        <f t="shared" si="126"/>
        <v>0.10000000000000009</v>
      </c>
      <c r="T26" s="10"/>
      <c r="U26" s="10">
        <f t="shared" si="127"/>
        <v>-0.12995594713656389</v>
      </c>
      <c r="V26" s="10">
        <f t="shared" si="127"/>
        <v>0.10746835443037983</v>
      </c>
      <c r="W26" s="10">
        <f t="shared" si="127"/>
        <v>8.6524174191336067E-2</v>
      </c>
      <c r="X26" s="10">
        <f t="shared" si="127"/>
        <v>0.14548706080370288</v>
      </c>
      <c r="Y26" s="10">
        <f t="shared" si="127"/>
        <v>0.12214161079988983</v>
      </c>
      <c r="Z26" s="10">
        <f t="shared" si="128"/>
        <v>8.4535559374744329E-2</v>
      </c>
      <c r="AA26" s="10">
        <f t="shared" si="129"/>
        <v>6.0000000000000053E-2</v>
      </c>
      <c r="AB26" s="10">
        <f t="shared" si="130"/>
        <v>5.0000000000000044E-2</v>
      </c>
      <c r="AC26" s="10">
        <f t="shared" si="131"/>
        <v>4.0000000000000036E-2</v>
      </c>
      <c r="AD26" s="10">
        <f t="shared" si="132"/>
        <v>3.0000000000000027E-2</v>
      </c>
      <c r="AE26" s="10">
        <f t="shared" si="133"/>
        <v>3.0000000000000027E-2</v>
      </c>
      <c r="AF26" s="10">
        <f t="shared" si="134"/>
        <v>2.0000000000000018E-2</v>
      </c>
      <c r="AG26" s="10">
        <f t="shared" si="135"/>
        <v>2.0000000000000018E-2</v>
      </c>
      <c r="AH26" s="10">
        <f t="shared" si="136"/>
        <v>2.0000000000000018E-2</v>
      </c>
      <c r="AI26" s="10">
        <f t="shared" si="137"/>
        <v>2.0000000000000018E-2</v>
      </c>
      <c r="AJ26" s="10">
        <f t="shared" si="138"/>
        <v>2.0000000000000018E-2</v>
      </c>
      <c r="AL26" s="1" t="s">
        <v>57</v>
      </c>
      <c r="AM26" s="10">
        <v>-0.01</v>
      </c>
    </row>
    <row r="27" spans="2:136" s="2" customFormat="1" x14ac:dyDescent="0.3">
      <c r="B27" s="2" t="s">
        <v>49</v>
      </c>
      <c r="C27" s="11"/>
      <c r="D27" s="11"/>
      <c r="G27" s="11">
        <f>G5/C5-1</f>
        <v>5.8261700095511015E-2</v>
      </c>
      <c r="H27" s="11">
        <f>H5/D5-1</f>
        <v>2.1557019993298399E-2</v>
      </c>
      <c r="I27" s="11"/>
      <c r="J27" s="11"/>
      <c r="K27" s="11">
        <f t="shared" ref="K27:L27" si="141">K5/G5-1</f>
        <v>2.7188628158844708E-2</v>
      </c>
      <c r="L27" s="11">
        <f t="shared" si="141"/>
        <v>4.7124425978569917E-2</v>
      </c>
      <c r="M27" s="11">
        <f>M5/I5-1</f>
        <v>5.6013894919670015E-2</v>
      </c>
      <c r="N27" s="11">
        <f>N5/J5-1</f>
        <v>6.8644067796610253E-2</v>
      </c>
      <c r="O27" s="11">
        <f>O5/K5-1</f>
        <v>7.8747940691927587E-2</v>
      </c>
      <c r="P27" s="11">
        <f>P5/L5-1</f>
        <v>8.092304479482082E-2</v>
      </c>
      <c r="Q27" s="11">
        <f t="shared" ref="Q27:R27" si="142">Q5/M5-1</f>
        <v>9.3548519736842195E-2</v>
      </c>
      <c r="R27" s="11">
        <f t="shared" si="142"/>
        <v>8.622323552735911E-2</v>
      </c>
      <c r="T27" s="11"/>
      <c r="U27" s="11">
        <f t="shared" si="127"/>
        <v>-0.11092647579612624</v>
      </c>
      <c r="V27" s="11">
        <f t="shared" si="127"/>
        <v>5.377332475411345E-2</v>
      </c>
      <c r="W27" s="11">
        <f t="shared" si="127"/>
        <v>3.1228192602930971E-2</v>
      </c>
      <c r="X27" s="11">
        <f t="shared" si="127"/>
        <v>3.3722438391699194E-2</v>
      </c>
      <c r="Y27" s="11">
        <f t="shared" si="127"/>
        <v>5.0079100976487823E-2</v>
      </c>
      <c r="Z27" s="11">
        <f t="shared" si="128"/>
        <v>8.4987791573588156E-2</v>
      </c>
      <c r="AA27" s="11">
        <f t="shared" si="129"/>
        <v>6.0000000000000053E-2</v>
      </c>
      <c r="AB27" s="11">
        <f t="shared" si="130"/>
        <v>5.0000000000000044E-2</v>
      </c>
      <c r="AC27" s="11">
        <f t="shared" si="131"/>
        <v>4.0000000000000036E-2</v>
      </c>
      <c r="AD27" s="11">
        <f t="shared" si="132"/>
        <v>2.9999999999999805E-2</v>
      </c>
      <c r="AE27" s="11">
        <f t="shared" si="133"/>
        <v>2.3172608191648347E-2</v>
      </c>
      <c r="AF27" s="11">
        <f t="shared" si="134"/>
        <v>1.3193778265011558E-2</v>
      </c>
      <c r="AG27" s="11">
        <f t="shared" si="135"/>
        <v>1.3215232762177287E-2</v>
      </c>
      <c r="AH27" s="11">
        <f t="shared" si="136"/>
        <v>1.3236762843053862E-2</v>
      </c>
      <c r="AI27" s="11">
        <f t="shared" si="137"/>
        <v>1.3258367857332143E-2</v>
      </c>
      <c r="AJ27" s="11">
        <f t="shared" si="138"/>
        <v>1.3280047142869122E-2</v>
      </c>
      <c r="AL27" s="1" t="s">
        <v>58</v>
      </c>
      <c r="AM27" s="10">
        <v>0.06</v>
      </c>
    </row>
    <row r="28" spans="2:136" x14ac:dyDescent="0.3">
      <c r="B28" s="1" t="s">
        <v>50</v>
      </c>
      <c r="C28" s="10">
        <f t="shared" ref="C28" si="143">(C3-C6)/C3</f>
        <v>0.33806262230919765</v>
      </c>
      <c r="D28" s="10">
        <f t="shared" ref="D28" si="144">(D3-D6)/D3</f>
        <v>0.35233393177737882</v>
      </c>
      <c r="G28" s="10">
        <f t="shared" ref="G28" si="145">(G3-G6)/G3</f>
        <v>0.35530903328050711</v>
      </c>
      <c r="H28" s="10">
        <f t="shared" ref="H28:I28" si="146">(H3-H6)/H3</f>
        <v>0.35832945194845522</v>
      </c>
      <c r="I28" s="10">
        <f t="shared" si="146"/>
        <v>0.35017476962186211</v>
      </c>
      <c r="J28" s="10">
        <f t="shared" ref="J28:K28" si="147">(J3-J6)/J3</f>
        <v>0.3035077288941736</v>
      </c>
      <c r="K28" s="10">
        <f t="shared" si="147"/>
        <v>0.35574006067379849</v>
      </c>
      <c r="L28" s="10">
        <f t="shared" ref="L28:M29" si="148">(L3-L6)/L3</f>
        <v>0.34429519839431838</v>
      </c>
      <c r="M28" s="10">
        <f t="shared" si="148"/>
        <v>0.3678300455235205</v>
      </c>
      <c r="N28" s="10">
        <f t="shared" ref="N28" si="149">(N3-N6)/N3</f>
        <v>0.31227514750323787</v>
      </c>
      <c r="O28" s="10">
        <f t="shared" ref="O28:P28" si="150">(O3-O6)/O3</f>
        <v>0.36027088036117383</v>
      </c>
      <c r="P28" s="10">
        <f t="shared" si="150"/>
        <v>0.36114622840286559</v>
      </c>
      <c r="Q28" s="10">
        <f t="shared" ref="Q28:R28" si="151">(Q3-Q6)/Q3</f>
        <v>0.36</v>
      </c>
      <c r="R28" s="10">
        <f t="shared" si="151"/>
        <v>0.31999999999999995</v>
      </c>
      <c r="T28" s="10">
        <f t="shared" ref="T28:Y29" si="152">(T3-T6)/T3</f>
        <v>0.30258062181041662</v>
      </c>
      <c r="U28" s="10">
        <f t="shared" si="152"/>
        <v>0.28697901928285563</v>
      </c>
      <c r="V28" s="10">
        <f t="shared" si="152"/>
        <v>0.28463908279062511</v>
      </c>
      <c r="W28" s="10">
        <f t="shared" si="152"/>
        <v>0.34687981510015409</v>
      </c>
      <c r="X28" s="10">
        <f t="shared" si="152"/>
        <v>0.34128739378419276</v>
      </c>
      <c r="Y28" s="10">
        <f t="shared" si="152"/>
        <v>0.34445755165721681</v>
      </c>
      <c r="Z28" s="10">
        <f t="shared" ref="Z28:AJ28" si="153">(Z3-Z6)/Z3</f>
        <v>0.34982265186240785</v>
      </c>
      <c r="AA28" s="10">
        <f t="shared" si="153"/>
        <v>0.34</v>
      </c>
      <c r="AB28" s="10">
        <f t="shared" si="153"/>
        <v>0.34</v>
      </c>
      <c r="AC28" s="10">
        <f t="shared" si="153"/>
        <v>0.34</v>
      </c>
      <c r="AD28" s="10">
        <f t="shared" si="153"/>
        <v>0.33999999999999997</v>
      </c>
      <c r="AE28" s="10">
        <f t="shared" si="153"/>
        <v>0.33999999999999991</v>
      </c>
      <c r="AF28" s="10">
        <f t="shared" si="153"/>
        <v>0.33999999999999991</v>
      </c>
      <c r="AG28" s="10">
        <f t="shared" si="153"/>
        <v>0.34</v>
      </c>
      <c r="AH28" s="10">
        <f t="shared" si="153"/>
        <v>0.33999999999999997</v>
      </c>
      <c r="AI28" s="10">
        <f t="shared" si="153"/>
        <v>0.34</v>
      </c>
      <c r="AJ28" s="10">
        <f t="shared" si="153"/>
        <v>0.33999999999999997</v>
      </c>
      <c r="AL28" s="1" t="s">
        <v>59</v>
      </c>
      <c r="AM28" s="6">
        <f>NPV(AM27,Z21:EF21)</f>
        <v>122572.85753670074</v>
      </c>
    </row>
    <row r="29" spans="2:136" x14ac:dyDescent="0.3">
      <c r="B29" s="1" t="s">
        <v>51</v>
      </c>
      <c r="C29" s="10">
        <f t="shared" ref="C29" si="154">(C4-C7)/C4</f>
        <v>0.43627450980392157</v>
      </c>
      <c r="D29" s="10">
        <f t="shared" ref="D29" si="155">(D4-D7)/D4</f>
        <v>0.4133979726751873</v>
      </c>
      <c r="G29" s="10">
        <f t="shared" ref="G29" si="156">(G4-G7)/G4</f>
        <v>0.44009397024275648</v>
      </c>
      <c r="H29" s="10">
        <f t="shared" ref="H29:I29" si="157">(H4-H7)/H4</f>
        <v>0.44805914972273569</v>
      </c>
      <c r="I29" s="10">
        <f t="shared" si="157"/>
        <v>0.45853324194653872</v>
      </c>
      <c r="J29" s="10">
        <f t="shared" ref="J29:K29" si="158">(J4-J7)/J4</f>
        <v>0.4413716814159292</v>
      </c>
      <c r="K29" s="10">
        <f t="shared" si="158"/>
        <v>0.45531315974665726</v>
      </c>
      <c r="L29" s="10">
        <f t="shared" si="148"/>
        <v>0.48096774193548386</v>
      </c>
      <c r="M29" s="10">
        <f t="shared" si="148"/>
        <v>0.42224346717654559</v>
      </c>
      <c r="N29" s="10">
        <f t="shared" ref="N29" si="159">(N4-N7)/N4</f>
        <v>0.47785919082510353</v>
      </c>
      <c r="O29" s="10">
        <f t="shared" ref="O29:P29" si="160">(O4-O7)/O4</f>
        <v>0.43783443500157382</v>
      </c>
      <c r="P29" s="10">
        <f t="shared" si="160"/>
        <v>0.44911846582121867</v>
      </c>
      <c r="Q29" s="10">
        <f t="shared" ref="Q29:R29" si="161">(Q4-Q7)/Q4</f>
        <v>0.45999999999999996</v>
      </c>
      <c r="R29" s="10">
        <f t="shared" si="161"/>
        <v>0.45999999999999996</v>
      </c>
      <c r="T29" s="10">
        <f t="shared" si="152"/>
        <v>0.44162995594713655</v>
      </c>
      <c r="U29" s="10">
        <f t="shared" si="152"/>
        <v>0.42645569620253165</v>
      </c>
      <c r="V29" s="10">
        <f t="shared" si="152"/>
        <v>0.42279117613441536</v>
      </c>
      <c r="W29" s="10">
        <f t="shared" si="152"/>
        <v>0.43277929728592468</v>
      </c>
      <c r="X29" s="10">
        <f t="shared" si="152"/>
        <v>0.44733217007989712</v>
      </c>
      <c r="Y29" s="10">
        <f t="shared" si="152"/>
        <v>0.45912104100171863</v>
      </c>
      <c r="Z29" s="10">
        <f t="shared" ref="Z29:AJ29" si="162">(Z4-Z7)/Z4</f>
        <v>0.45203135540909484</v>
      </c>
      <c r="AA29" s="10">
        <f t="shared" si="162"/>
        <v>0.47</v>
      </c>
      <c r="AB29" s="10">
        <f t="shared" si="162"/>
        <v>0.47</v>
      </c>
      <c r="AC29" s="10">
        <f t="shared" si="162"/>
        <v>0.47</v>
      </c>
      <c r="AD29" s="10">
        <f t="shared" si="162"/>
        <v>0.47</v>
      </c>
      <c r="AE29" s="10">
        <f t="shared" si="162"/>
        <v>0.47</v>
      </c>
      <c r="AF29" s="10">
        <f t="shared" si="162"/>
        <v>0.47</v>
      </c>
      <c r="AG29" s="10">
        <f t="shared" si="162"/>
        <v>0.46999999999999992</v>
      </c>
      <c r="AH29" s="10">
        <f t="shared" si="162"/>
        <v>0.47000000000000003</v>
      </c>
      <c r="AI29" s="10">
        <f t="shared" si="162"/>
        <v>0.47000000000000003</v>
      </c>
      <c r="AJ29" s="10">
        <f t="shared" si="162"/>
        <v>0.47</v>
      </c>
      <c r="AL29" s="1" t="s">
        <v>60</v>
      </c>
      <c r="AM29" s="6">
        <f>Main!D8</f>
        <v>-24408</v>
      </c>
    </row>
    <row r="30" spans="2:136" x14ac:dyDescent="0.3">
      <c r="B30" s="1" t="s">
        <v>52</v>
      </c>
      <c r="C30" s="10">
        <f t="shared" ref="C30" si="163">C9/C5</f>
        <v>0.36437440305635149</v>
      </c>
      <c r="D30" s="10">
        <f t="shared" ref="D30" si="164">D9/D5</f>
        <v>0.36780967273539594</v>
      </c>
      <c r="G30" s="10">
        <f t="shared" ref="G30" si="165">G9/G5</f>
        <v>0.37973826714801445</v>
      </c>
      <c r="H30" s="10">
        <f t="shared" ref="H30:I30" si="166">H9/H5</f>
        <v>0.38486770172753115</v>
      </c>
      <c r="I30" s="10">
        <f t="shared" si="166"/>
        <v>0.38449848024316108</v>
      </c>
      <c r="J30" s="10">
        <f t="shared" ref="J30:K30" si="167">J9/J5</f>
        <v>0.34311440677966104</v>
      </c>
      <c r="K30" s="10">
        <f t="shared" si="167"/>
        <v>0.3868204283360791</v>
      </c>
      <c r="L30" s="10">
        <f t="shared" ref="L30:M30" si="168">L9/L5</f>
        <v>0.38853503184713378</v>
      </c>
      <c r="M30" s="10">
        <f t="shared" si="168"/>
        <v>0.38538240131578949</v>
      </c>
      <c r="N30" s="10">
        <f t="shared" ref="N30" si="169">N9/N5</f>
        <v>0.36379857256145914</v>
      </c>
      <c r="O30" s="10">
        <f t="shared" ref="O30:P30" si="170">O9/O5</f>
        <v>0.38535939727143148</v>
      </c>
      <c r="P30" s="10">
        <f t="shared" si="170"/>
        <v>0.3886205564142195</v>
      </c>
      <c r="Q30" s="10">
        <f t="shared" ref="Q30:R30" si="171">Q9/Q5</f>
        <v>0.39185774823181707</v>
      </c>
      <c r="R30" s="10">
        <f t="shared" si="171"/>
        <v>0.3641151615923604</v>
      </c>
      <c r="T30" s="10">
        <f t="shared" ref="T30:Y30" si="172">T9/T5</f>
        <v>0.3369745838895094</v>
      </c>
      <c r="U30" s="10">
        <f t="shared" si="172"/>
        <v>0.32074026411741274</v>
      </c>
      <c r="V30" s="10">
        <f t="shared" si="172"/>
        <v>0.31978367062107466</v>
      </c>
      <c r="W30" s="10">
        <f t="shared" si="172"/>
        <v>0.36990356961597021</v>
      </c>
      <c r="X30" s="10">
        <f t="shared" si="172"/>
        <v>0.3727838088483989</v>
      </c>
      <c r="Y30" s="10">
        <f t="shared" si="172"/>
        <v>0.38085095329627511</v>
      </c>
      <c r="Z30" s="10">
        <f t="shared" ref="Z30:AJ30" si="173">Z9/Z5</f>
        <v>0.3822494688754044</v>
      </c>
      <c r="AA30" s="10">
        <f t="shared" si="173"/>
        <v>0.38124390649142709</v>
      </c>
      <c r="AB30" s="10">
        <f t="shared" si="173"/>
        <v>0.38124390649142714</v>
      </c>
      <c r="AC30" s="10">
        <f t="shared" si="173"/>
        <v>0.38124390649142709</v>
      </c>
      <c r="AD30" s="10">
        <f t="shared" si="173"/>
        <v>0.38124390649142703</v>
      </c>
      <c r="AE30" s="10">
        <f t="shared" si="173"/>
        <v>0.38151911744515032</v>
      </c>
      <c r="AF30" s="10">
        <f t="shared" si="173"/>
        <v>0.38179802590830392</v>
      </c>
      <c r="AG30" s="10">
        <f t="shared" si="173"/>
        <v>0.38207791695970011</v>
      </c>
      <c r="AH30" s="10">
        <f t="shared" si="173"/>
        <v>0.38235878214531593</v>
      </c>
      <c r="AI30" s="10">
        <f t="shared" si="173"/>
        <v>0.38264061285729817</v>
      </c>
      <c r="AJ30" s="10">
        <f t="shared" si="173"/>
        <v>0.38292340033447009</v>
      </c>
      <c r="AL30" s="1" t="s">
        <v>61</v>
      </c>
      <c r="AM30" s="6">
        <f>AM28+AM29</f>
        <v>98164.857536700743</v>
      </c>
    </row>
    <row r="31" spans="2:136" x14ac:dyDescent="0.3">
      <c r="B31" s="1" t="s">
        <v>54</v>
      </c>
      <c r="C31" s="10"/>
      <c r="D31" s="10"/>
      <c r="G31" s="10">
        <f>G10/C10-1</f>
        <v>2.0000000000000018E-2</v>
      </c>
      <c r="H31" s="10">
        <f t="shared" ref="H31:O31" si="174">H10/D10-1</f>
        <v>-2.8497409326424861E-2</v>
      </c>
      <c r="I31" s="10"/>
      <c r="J31" s="10"/>
      <c r="K31" s="10">
        <f t="shared" si="174"/>
        <v>8.4033613445377853E-3</v>
      </c>
      <c r="L31" s="10">
        <f t="shared" si="174"/>
        <v>1.8666666666666609E-2</v>
      </c>
      <c r="M31" s="10">
        <f t="shared" si="174"/>
        <v>1.098901098901095E-2</v>
      </c>
      <c r="N31" s="10">
        <f t="shared" si="174"/>
        <v>0.18333333333333335</v>
      </c>
      <c r="O31" s="10">
        <f t="shared" si="174"/>
        <v>0.21944444444444455</v>
      </c>
      <c r="P31" s="10">
        <f>P10/L10-1</f>
        <v>0.25916230366492155</v>
      </c>
      <c r="Q31" s="10">
        <f t="shared" ref="Q31:R32" si="175">Q10/M10-1</f>
        <v>0.25</v>
      </c>
      <c r="R31" s="10">
        <f t="shared" si="175"/>
        <v>0.19999999999999996</v>
      </c>
      <c r="T31" s="10"/>
      <c r="U31" s="10"/>
      <c r="V31" s="10"/>
      <c r="W31" s="10"/>
      <c r="X31" s="10">
        <f>X10/W10-1</f>
        <v>-1.4884979702300405E-2</v>
      </c>
      <c r="Y31" s="10">
        <f>Y10/X10-1</f>
        <v>5.4945054945054972E-2</v>
      </c>
      <c r="Z31" s="10">
        <f t="shared" ref="Z31:AJ31" si="176">Z10/Y10-1</f>
        <v>0.23124999999999996</v>
      </c>
      <c r="AA31" s="10">
        <f t="shared" si="176"/>
        <v>0.12000000000000011</v>
      </c>
      <c r="AB31" s="10">
        <f t="shared" si="176"/>
        <v>7.0000000000000062E-2</v>
      </c>
      <c r="AC31" s="10">
        <f t="shared" si="176"/>
        <v>3.0000000000000027E-2</v>
      </c>
      <c r="AD31" s="10">
        <f t="shared" si="176"/>
        <v>2.0000000000000018E-2</v>
      </c>
      <c r="AE31" s="10">
        <f t="shared" si="176"/>
        <v>2.0000000000000018E-2</v>
      </c>
      <c r="AF31" s="10">
        <f t="shared" si="176"/>
        <v>2.0000000000000018E-2</v>
      </c>
      <c r="AG31" s="10">
        <f t="shared" si="176"/>
        <v>2.0000000000000018E-2</v>
      </c>
      <c r="AH31" s="10">
        <f t="shared" si="176"/>
        <v>2.0000000000000018E-2</v>
      </c>
      <c r="AI31" s="10">
        <f t="shared" si="176"/>
        <v>2.0000000000000018E-2</v>
      </c>
      <c r="AJ31" s="10">
        <f t="shared" si="176"/>
        <v>2.0000000000000018E-2</v>
      </c>
      <c r="AL31" s="1" t="s">
        <v>62</v>
      </c>
      <c r="AM31" s="5">
        <f>AM30/AJ22</f>
        <v>153.98409025364822</v>
      </c>
    </row>
    <row r="32" spans="2:136" x14ac:dyDescent="0.3">
      <c r="B32" s="1" t="s">
        <v>53</v>
      </c>
      <c r="C32" s="10"/>
      <c r="D32" s="10"/>
      <c r="G32" s="10">
        <f t="shared" ref="G32:P32" si="177">G11/C11-1</f>
        <v>-7.9664570230607912E-2</v>
      </c>
      <c r="H32" s="10">
        <f t="shared" si="177"/>
        <v>-3.3690658499234249E-2</v>
      </c>
      <c r="I32" s="10"/>
      <c r="J32" s="10"/>
      <c r="K32" s="10">
        <f t="shared" si="177"/>
        <v>-1.1389521640091105E-2</v>
      </c>
      <c r="L32" s="10">
        <f t="shared" si="177"/>
        <v>7.844690966719492E-2</v>
      </c>
      <c r="M32" s="10">
        <f t="shared" si="177"/>
        <v>0.11661341853035134</v>
      </c>
      <c r="N32" s="10">
        <f t="shared" si="177"/>
        <v>8.4104938271605034E-2</v>
      </c>
      <c r="O32" s="10">
        <f t="shared" si="177"/>
        <v>4.5314900153609727E-2</v>
      </c>
      <c r="P32" s="10">
        <f t="shared" si="177"/>
        <v>4.9228508449669306E-2</v>
      </c>
      <c r="Q32" s="10">
        <f t="shared" si="175"/>
        <v>5.0000000000000044E-2</v>
      </c>
      <c r="R32" s="10">
        <f t="shared" si="175"/>
        <v>5.0000000000000044E-2</v>
      </c>
      <c r="T32" s="10"/>
      <c r="U32" s="10">
        <f t="shared" ref="U32:W32" si="178">U11/T11-1</f>
        <v>-0.13535060699402068</v>
      </c>
      <c r="V32" s="10">
        <f t="shared" si="178"/>
        <v>5.4484492875104262E-3</v>
      </c>
      <c r="W32" s="10">
        <f t="shared" si="178"/>
        <v>8.6702792830345876E-2</v>
      </c>
      <c r="X32" s="10">
        <f>X11/W11-1</f>
        <v>-1.6685845799769838E-2</v>
      </c>
      <c r="Y32" s="10">
        <f>Y11/X11-1</f>
        <v>6.6120538326506662E-2</v>
      </c>
      <c r="Z32" s="10">
        <f t="shared" ref="Z32:AJ32" si="179">Z11/Y11-1</f>
        <v>4.8691913648005736E-2</v>
      </c>
      <c r="AA32" s="10">
        <f t="shared" si="179"/>
        <v>3.0000000000000027E-2</v>
      </c>
      <c r="AB32" s="10">
        <f t="shared" si="179"/>
        <v>2.0000000000000018E-2</v>
      </c>
      <c r="AC32" s="10">
        <f t="shared" si="179"/>
        <v>1.0000000000000009E-2</v>
      </c>
      <c r="AD32" s="10">
        <f t="shared" si="179"/>
        <v>1.0000000000000009E-2</v>
      </c>
      <c r="AE32" s="10">
        <f t="shared" si="179"/>
        <v>1.0000000000000009E-2</v>
      </c>
      <c r="AF32" s="10">
        <f t="shared" si="179"/>
        <v>1.0000000000000009E-2</v>
      </c>
      <c r="AG32" s="10">
        <f t="shared" si="179"/>
        <v>1.0000000000000009E-2</v>
      </c>
      <c r="AH32" s="10">
        <f t="shared" si="179"/>
        <v>1.0000000000000009E-2</v>
      </c>
      <c r="AI32" s="10">
        <f t="shared" si="179"/>
        <v>1.0000000000000009E-2</v>
      </c>
      <c r="AJ32" s="10">
        <f t="shared" si="179"/>
        <v>1.0000000000000009E-2</v>
      </c>
      <c r="AL32" s="1" t="s">
        <v>63</v>
      </c>
      <c r="AM32" s="5">
        <f>Main!D3</f>
        <v>209.05</v>
      </c>
    </row>
    <row r="33" spans="2:39" x14ac:dyDescent="0.3">
      <c r="B33" s="1" t="s">
        <v>55</v>
      </c>
      <c r="C33" s="10">
        <f t="shared" ref="C33" si="180">C14/C5</f>
        <v>0.15174307545367718</v>
      </c>
      <c r="D33" s="10">
        <f t="shared" ref="D33" si="181">D14/D5</f>
        <v>0.17882274098067688</v>
      </c>
      <c r="G33" s="10">
        <f t="shared" ref="G33" si="182">G14/G5</f>
        <v>0.19088447653429602</v>
      </c>
      <c r="H33" s="10">
        <f t="shared" ref="H33:I33" si="183">H14/H5</f>
        <v>0.20588235294117646</v>
      </c>
      <c r="I33" s="10">
        <f t="shared" si="183"/>
        <v>0.20907511940946591</v>
      </c>
      <c r="J33" s="10">
        <f t="shared" ref="J33:K33" si="184">J14/J5</f>
        <v>0.16769067796610168</v>
      </c>
      <c r="K33" s="10">
        <f t="shared" si="184"/>
        <v>0.2042833607907743</v>
      </c>
      <c r="L33" s="10">
        <f t="shared" ref="L33:M33" si="185">L14/L5</f>
        <v>0.20653649368278165</v>
      </c>
      <c r="M33" s="10">
        <f t="shared" si="185"/>
        <v>0.19099506578947367</v>
      </c>
      <c r="N33" s="10">
        <f t="shared" ref="N33" si="186">N14/N5</f>
        <v>0.17297779540047581</v>
      </c>
      <c r="O33" s="10">
        <f t="shared" ref="O33:P33" si="187">O14/O5</f>
        <v>0.20057014864589698</v>
      </c>
      <c r="P33" s="10">
        <f t="shared" si="187"/>
        <v>0.20421174652241114</v>
      </c>
      <c r="Q33" s="10">
        <f t="shared" ref="Q33:R33" si="188">Q14/Q5</f>
        <v>0.21063075528950817</v>
      </c>
      <c r="R33" s="10">
        <f t="shared" si="188"/>
        <v>0.18283366582039115</v>
      </c>
      <c r="T33" s="10">
        <f t="shared" ref="T33:Y33" si="189">T14/T5</f>
        <v>0.18662998174834508</v>
      </c>
      <c r="U33" s="10">
        <f t="shared" si="189"/>
        <v>0.17452584489996018</v>
      </c>
      <c r="V33" s="10">
        <f t="shared" si="189"/>
        <v>0.18027448243777622</v>
      </c>
      <c r="W33" s="10">
        <f t="shared" si="189"/>
        <v>0.18121581232729939</v>
      </c>
      <c r="X33" s="10">
        <f t="shared" si="189"/>
        <v>0.19322459222082811</v>
      </c>
      <c r="Y33" s="10">
        <f t="shared" si="189"/>
        <v>0.19328276793599666</v>
      </c>
      <c r="Z33" s="10">
        <f t="shared" ref="Z33:AJ33" si="190">Z14/Z5</f>
        <v>0.19938196584810197</v>
      </c>
      <c r="AA33" s="10">
        <f t="shared" si="190"/>
        <v>0.20005660071098125</v>
      </c>
      <c r="AB33" s="10">
        <f t="shared" si="190"/>
        <v>0.20295530963095837</v>
      </c>
      <c r="AC33" s="10">
        <f t="shared" si="190"/>
        <v>0.20716073598949453</v>
      </c>
      <c r="AD33" s="10">
        <f t="shared" si="190"/>
        <v>0.21007223475963815</v>
      </c>
      <c r="AE33" s="10">
        <f t="shared" si="190"/>
        <v>0.21208385386570563</v>
      </c>
      <c r="AF33" s="10">
        <f t="shared" si="190"/>
        <v>0.21242641167928383</v>
      </c>
      <c r="AG33" s="10">
        <f t="shared" si="190"/>
        <v>0.21277017631633457</v>
      </c>
      <c r="AH33" s="10">
        <f t="shared" si="190"/>
        <v>0.21311513739355287</v>
      </c>
      <c r="AI33" s="10">
        <f t="shared" si="190"/>
        <v>0.21346128433869824</v>
      </c>
      <c r="AJ33" s="10">
        <f t="shared" si="190"/>
        <v>0.21380860639121674</v>
      </c>
      <c r="AL33" s="2" t="s">
        <v>64</v>
      </c>
      <c r="AM33" s="11">
        <f>AM31/AM32-1</f>
        <v>-0.26341023557212051</v>
      </c>
    </row>
    <row r="34" spans="2:39" x14ac:dyDescent="0.3">
      <c r="B34" s="1" t="s">
        <v>28</v>
      </c>
      <c r="C34" s="10">
        <f>C19/C18</f>
        <v>0.24651162790697675</v>
      </c>
      <c r="D34" s="10">
        <f>D19/D18</f>
        <v>0.25880281690140844</v>
      </c>
      <c r="G34" s="10">
        <f t="shared" ref="G34:P34" si="191">G19/G18</f>
        <v>0.20987654320987653</v>
      </c>
      <c r="H34" s="10">
        <f t="shared" si="191"/>
        <v>0.21165966386554622</v>
      </c>
      <c r="I34" s="10">
        <f t="shared" si="191"/>
        <v>0.22979156075241486</v>
      </c>
      <c r="J34" s="10">
        <f t="shared" si="191"/>
        <v>0.17131474103585656</v>
      </c>
      <c r="K34" s="10">
        <f t="shared" si="191"/>
        <v>0.21165152324959915</v>
      </c>
      <c r="L34" s="10">
        <f t="shared" si="191"/>
        <v>0.20972644376899696</v>
      </c>
      <c r="M34" s="10">
        <f t="shared" si="191"/>
        <v>0.22423245614035087</v>
      </c>
      <c r="N34" s="10">
        <f t="shared" si="191"/>
        <v>0.16450777202072539</v>
      </c>
      <c r="O34" s="10">
        <f t="shared" si="191"/>
        <v>0.2213375796178344</v>
      </c>
      <c r="P34" s="10">
        <f t="shared" si="191"/>
        <v>0.16141101015499731</v>
      </c>
      <c r="Q34" s="10">
        <f t="shared" ref="Q34:R34" si="192">Q19/Q18</f>
        <v>0.18</v>
      </c>
      <c r="R34" s="10">
        <f t="shared" si="192"/>
        <v>0.18000000000000002</v>
      </c>
      <c r="T34" s="10">
        <f t="shared" ref="T34:X34" si="193">T19/T18</f>
        <v>0.1758169069982802</v>
      </c>
      <c r="U34" s="10">
        <f t="shared" si="193"/>
        <v>0.19078509647371922</v>
      </c>
      <c r="V34" s="10">
        <f t="shared" si="193"/>
        <v>0.22460262612301313</v>
      </c>
      <c r="W34" s="10">
        <f t="shared" si="193"/>
        <v>0.22135130898259917</v>
      </c>
      <c r="X34" s="10">
        <f t="shared" si="193"/>
        <v>0.20771057410252827</v>
      </c>
      <c r="Y34" s="10">
        <f>Y19/Y18</f>
        <v>0.20421461250519896</v>
      </c>
      <c r="Z34" s="10">
        <f t="shared" ref="Z34:AJ34" si="194">Z19/Z18</f>
        <v>0.18560777786038365</v>
      </c>
      <c r="AA34" s="10">
        <f t="shared" si="194"/>
        <v>0.21</v>
      </c>
      <c r="AB34" s="10">
        <f t="shared" si="194"/>
        <v>0.21</v>
      </c>
      <c r="AC34" s="10">
        <f t="shared" si="194"/>
        <v>0.21</v>
      </c>
      <c r="AD34" s="10">
        <f t="shared" si="194"/>
        <v>0.21</v>
      </c>
      <c r="AE34" s="10">
        <f t="shared" si="194"/>
        <v>0.21</v>
      </c>
      <c r="AF34" s="10">
        <f t="shared" si="194"/>
        <v>0.21</v>
      </c>
      <c r="AG34" s="10">
        <f t="shared" si="194"/>
        <v>0.21000000000000002</v>
      </c>
      <c r="AH34" s="10">
        <f t="shared" si="194"/>
        <v>0.20999999999999996</v>
      </c>
      <c r="AI34" s="10">
        <f t="shared" si="194"/>
        <v>0.21</v>
      </c>
      <c r="AJ34" s="10">
        <f t="shared" si="194"/>
        <v>0.21</v>
      </c>
      <c r="AL34" s="1" t="s">
        <v>65</v>
      </c>
      <c r="AM34" s="7" t="s">
        <v>66</v>
      </c>
    </row>
    <row r="35" spans="2:39" x14ac:dyDescent="0.3">
      <c r="B35" s="1" t="s">
        <v>56</v>
      </c>
      <c r="C35" s="10">
        <f t="shared" ref="C35" si="195">C21/C5</f>
        <v>0.13538681948424069</v>
      </c>
      <c r="D35" s="10">
        <f t="shared" ref="D35" si="196">D21/D5</f>
        <v>0.14084664358315649</v>
      </c>
      <c r="G35" s="10">
        <f t="shared" ref="G35" si="197">G21/G5</f>
        <v>0.1572653429602888</v>
      </c>
      <c r="H35" s="10">
        <f t="shared" ref="H35:I35" si="198">H21/H5</f>
        <v>0.16258473649682922</v>
      </c>
      <c r="I35" s="10">
        <f t="shared" si="198"/>
        <v>0.16435084672166739</v>
      </c>
      <c r="J35" s="10">
        <f t="shared" ref="J35:K35" si="199">J21/J5</f>
        <v>0.13379237288135593</v>
      </c>
      <c r="K35" s="10">
        <f t="shared" si="199"/>
        <v>0.16068094453596926</v>
      </c>
      <c r="L35" s="10">
        <f t="shared" ref="L35:M35" si="200">L21/L5</f>
        <v>0.16121958859768196</v>
      </c>
      <c r="M35" s="10">
        <f t="shared" si="200"/>
        <v>0.14525082236842105</v>
      </c>
      <c r="N35" s="10">
        <f t="shared" ref="N35" si="201">N21/N5</f>
        <v>0.12737906423473433</v>
      </c>
      <c r="O35" s="10">
        <f t="shared" ref="O35:P35" si="202">O21/O5</f>
        <v>0.14752596212583996</v>
      </c>
      <c r="P35" s="10">
        <f t="shared" si="202"/>
        <v>0.151661514683153</v>
      </c>
      <c r="Q35" s="10">
        <f t="shared" ref="Q35:R35" si="203">Q21/Q5</f>
        <v>0.16750108929840457</v>
      </c>
      <c r="R35" s="10">
        <f t="shared" si="203"/>
        <v>0.13153481513658727</v>
      </c>
      <c r="T35" s="10">
        <f t="shared" ref="T35:Y35" si="204">T21/T5</f>
        <v>0.16734315835353727</v>
      </c>
      <c r="U35" s="10">
        <f t="shared" si="204"/>
        <v>0.14642889971504733</v>
      </c>
      <c r="V35" s="10">
        <f t="shared" si="204"/>
        <v>0.16114212607583159</v>
      </c>
      <c r="W35" s="10">
        <f t="shared" si="204"/>
        <v>0.14002142897422884</v>
      </c>
      <c r="X35" s="10">
        <f t="shared" si="204"/>
        <v>0.15432873274780426</v>
      </c>
      <c r="Y35" s="10">
        <f t="shared" si="204"/>
        <v>0.1481895163385111</v>
      </c>
      <c r="Z35" s="10">
        <f t="shared" ref="Z35:AJ35" si="205">Z21/Z5</f>
        <v>0.14944311798028534</v>
      </c>
      <c r="AA35" s="10">
        <f t="shared" si="205"/>
        <v>0.14623850769565919</v>
      </c>
      <c r="AB35" s="10">
        <f t="shared" si="205"/>
        <v>0.14875535962767356</v>
      </c>
      <c r="AC35" s="10">
        <f t="shared" si="205"/>
        <v>0.15219306366780838</v>
      </c>
      <c r="AD35" s="10">
        <f t="shared" si="205"/>
        <v>0.15449926832986186</v>
      </c>
      <c r="AE35" s="10">
        <f t="shared" si="205"/>
        <v>0.15602014982399307</v>
      </c>
      <c r="AF35" s="10">
        <f t="shared" si="205"/>
        <v>0.15610984475188275</v>
      </c>
      <c r="AG35" s="10">
        <f t="shared" si="205"/>
        <v>0.15619985567298614</v>
      </c>
      <c r="AH35" s="10">
        <f t="shared" si="205"/>
        <v>0.15629017986855073</v>
      </c>
      <c r="AI35" s="10">
        <f t="shared" si="205"/>
        <v>0.1563808145703541</v>
      </c>
      <c r="AJ35" s="10">
        <f t="shared" si="205"/>
        <v>0.15647175696086543</v>
      </c>
    </row>
    <row r="39" spans="2:39" s="12" customFormat="1" x14ac:dyDescent="0.3">
      <c r="B39" s="12" t="s">
        <v>67</v>
      </c>
      <c r="N39" s="12">
        <v>75196</v>
      </c>
      <c r="P39" s="12">
        <v>78419</v>
      </c>
    </row>
    <row r="41" spans="2:39" x14ac:dyDescent="0.3">
      <c r="B41" s="1" t="s">
        <v>68</v>
      </c>
      <c r="P41" s="13">
        <f>Main!D9/Model!P39</f>
        <v>2.0107037197617923</v>
      </c>
    </row>
    <row r="42" spans="2:39" x14ac:dyDescent="0.3">
      <c r="B42" s="1" t="s">
        <v>69</v>
      </c>
      <c r="P42" s="10">
        <f>P39/Main!D9-1</f>
        <v>-0.50266168497541264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2025-04-23T18:31:42Z</dcterms:created>
  <dcterms:modified xsi:type="dcterms:W3CDTF">2025-10-04T06:45:11Z</dcterms:modified>
</cp:coreProperties>
</file>