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7CC5272-6B38-46B5-96E0-B2CCA32725A3}" xr6:coauthVersionLast="47" xr6:coauthVersionMax="47" xr10:uidLastSave="{00000000-0000-0000-0000-000000000000}"/>
  <bookViews>
    <workbookView xWindow="-108" yWindow="-108" windowWidth="23256" windowHeight="12576" xr2:uid="{F30574C2-14C5-4405-B92F-D72ACFF190E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4" i="2" l="1"/>
  <c r="AD34" i="2" s="1"/>
  <c r="R26" i="2"/>
  <c r="R15" i="2"/>
  <c r="D7" i="1"/>
  <c r="D6" i="1"/>
  <c r="R36" i="2"/>
  <c r="AN36" i="2"/>
  <c r="AM36" i="2"/>
  <c r="AL36" i="2"/>
  <c r="AK36" i="2"/>
  <c r="AJ36" i="2"/>
  <c r="AI36" i="2"/>
  <c r="AH36" i="2"/>
  <c r="AG36" i="2"/>
  <c r="AF36" i="2"/>
  <c r="AE36" i="2"/>
  <c r="AD36" i="2"/>
  <c r="D4" i="1"/>
  <c r="AD8" i="2"/>
  <c r="Q8" i="2"/>
  <c r="Q42" i="2"/>
  <c r="Q41" i="2"/>
  <c r="Q40" i="2"/>
  <c r="Q39" i="2"/>
  <c r="M15" i="2"/>
  <c r="Q15" i="2"/>
  <c r="Q19" i="2"/>
  <c r="AD26" i="2"/>
  <c r="Q51" i="2"/>
  <c r="Q50" i="2"/>
  <c r="Q44" i="2"/>
  <c r="AD30" i="2"/>
  <c r="Q31" i="2"/>
  <c r="Q27" i="2"/>
  <c r="Q47" i="2"/>
  <c r="G51" i="2"/>
  <c r="G50" i="2"/>
  <c r="P51" i="2"/>
  <c r="O51" i="2"/>
  <c r="M51" i="2"/>
  <c r="L51" i="2"/>
  <c r="K51" i="2"/>
  <c r="H51" i="2"/>
  <c r="O50" i="2"/>
  <c r="M50" i="2"/>
  <c r="L50" i="2"/>
  <c r="K50" i="2"/>
  <c r="H50" i="2"/>
  <c r="C48" i="2"/>
  <c r="C47" i="2"/>
  <c r="D48" i="2"/>
  <c r="D47" i="2"/>
  <c r="J34" i="2"/>
  <c r="J33" i="2"/>
  <c r="J30" i="2"/>
  <c r="J29" i="2"/>
  <c r="J26" i="2"/>
  <c r="J25" i="2"/>
  <c r="J24" i="2"/>
  <c r="J21" i="2"/>
  <c r="J20" i="2"/>
  <c r="J18" i="2"/>
  <c r="J17" i="2"/>
  <c r="J36" i="2"/>
  <c r="G48" i="2"/>
  <c r="G47" i="2"/>
  <c r="G45" i="2"/>
  <c r="G44" i="2"/>
  <c r="H48" i="2"/>
  <c r="H47" i="2"/>
  <c r="H45" i="2"/>
  <c r="H44" i="2"/>
  <c r="C36" i="2"/>
  <c r="C31" i="2"/>
  <c r="C27" i="2"/>
  <c r="C22" i="2"/>
  <c r="C19" i="2"/>
  <c r="G36" i="2"/>
  <c r="G31" i="2"/>
  <c r="G27" i="2"/>
  <c r="G22" i="2"/>
  <c r="G19" i="2"/>
  <c r="D36" i="2"/>
  <c r="D31" i="2"/>
  <c r="D27" i="2"/>
  <c r="D22" i="2"/>
  <c r="D19" i="2"/>
  <c r="H36" i="2"/>
  <c r="H31" i="2"/>
  <c r="H27" i="2"/>
  <c r="H22" i="2"/>
  <c r="H19" i="2"/>
  <c r="L45" i="2"/>
  <c r="K45" i="2"/>
  <c r="L44" i="2"/>
  <c r="K44" i="2"/>
  <c r="J48" i="2" l="1"/>
  <c r="J22" i="2"/>
  <c r="J31" i="2"/>
  <c r="G46" i="2"/>
  <c r="J27" i="2"/>
  <c r="H46" i="2"/>
  <c r="J47" i="2"/>
  <c r="Q45" i="2"/>
  <c r="Q22" i="2"/>
  <c r="Q23" i="2" s="1"/>
  <c r="Q49" i="2" s="1"/>
  <c r="Q48" i="2"/>
  <c r="J19" i="2"/>
  <c r="C23" i="2"/>
  <c r="G23" i="2"/>
  <c r="D23" i="2"/>
  <c r="H23" i="2"/>
  <c r="I48" i="2"/>
  <c r="I47" i="2"/>
  <c r="M48" i="2"/>
  <c r="M47" i="2"/>
  <c r="M45" i="2"/>
  <c r="M44" i="2"/>
  <c r="N34" i="2"/>
  <c r="N33" i="2"/>
  <c r="N30" i="2"/>
  <c r="N29" i="2"/>
  <c r="AD29" i="2" s="1"/>
  <c r="AD31" i="2" s="1"/>
  <c r="N26" i="2"/>
  <c r="N25" i="2"/>
  <c r="N24" i="2"/>
  <c r="N21" i="2"/>
  <c r="N20" i="2"/>
  <c r="N18" i="2"/>
  <c r="N17" i="2"/>
  <c r="N36" i="2"/>
  <c r="I36" i="2"/>
  <c r="I31" i="2"/>
  <c r="I27" i="2"/>
  <c r="I22" i="2"/>
  <c r="I19" i="2"/>
  <c r="M36" i="2"/>
  <c r="M31" i="2"/>
  <c r="M27" i="2"/>
  <c r="M22" i="2"/>
  <c r="M19" i="2"/>
  <c r="Q46" i="2" s="1"/>
  <c r="K48" i="2"/>
  <c r="K47" i="2"/>
  <c r="O48" i="2"/>
  <c r="O47" i="2"/>
  <c r="O45" i="2"/>
  <c r="O44" i="2"/>
  <c r="K36" i="2"/>
  <c r="K31" i="2"/>
  <c r="K27" i="2"/>
  <c r="K22" i="2"/>
  <c r="K19" i="2"/>
  <c r="K46" i="2" s="1"/>
  <c r="O36" i="2"/>
  <c r="O31" i="2"/>
  <c r="O27" i="2"/>
  <c r="O22" i="2"/>
  <c r="O19" i="2"/>
  <c r="AQ51" i="2"/>
  <c r="P50" i="2"/>
  <c r="P45" i="2"/>
  <c r="P44" i="2"/>
  <c r="L48" i="2"/>
  <c r="L47" i="2"/>
  <c r="L36" i="2"/>
  <c r="L31" i="2"/>
  <c r="L27" i="2"/>
  <c r="L22" i="2"/>
  <c r="L19" i="2"/>
  <c r="L46" i="2" s="1"/>
  <c r="P36" i="2"/>
  <c r="P48" i="2"/>
  <c r="P47" i="2"/>
  <c r="P31" i="2"/>
  <c r="P27" i="2"/>
  <c r="P22" i="2"/>
  <c r="P19" i="2"/>
  <c r="AA51" i="2"/>
  <c r="Z51" i="2"/>
  <c r="Y51" i="2"/>
  <c r="AB51" i="2"/>
  <c r="AB50" i="2"/>
  <c r="AB48" i="2"/>
  <c r="AA48" i="2"/>
  <c r="Z48" i="2"/>
  <c r="Y48" i="2"/>
  <c r="X48" i="2"/>
  <c r="AB47" i="2"/>
  <c r="AA47" i="2"/>
  <c r="Z47" i="2"/>
  <c r="Y47" i="2"/>
  <c r="X47" i="2"/>
  <c r="AB45" i="2"/>
  <c r="AA45" i="2"/>
  <c r="Z45" i="2"/>
  <c r="Y45" i="2"/>
  <c r="AB44" i="2"/>
  <c r="AA44" i="2"/>
  <c r="Z44" i="2"/>
  <c r="Y44" i="2"/>
  <c r="AC51" i="2"/>
  <c r="AC50" i="2"/>
  <c r="AC48" i="2"/>
  <c r="AC47" i="2"/>
  <c r="AC45" i="2"/>
  <c r="AC44" i="2"/>
  <c r="J23" i="2" l="1"/>
  <c r="J28" i="2" s="1"/>
  <c r="AE29" i="2"/>
  <c r="AF29" i="2" s="1"/>
  <c r="N48" i="2"/>
  <c r="H28" i="2"/>
  <c r="H49" i="2"/>
  <c r="N22" i="2"/>
  <c r="D28" i="2"/>
  <c r="D49" i="2"/>
  <c r="N50" i="2"/>
  <c r="G28" i="2"/>
  <c r="G49" i="2"/>
  <c r="N51" i="2"/>
  <c r="C49" i="2"/>
  <c r="C28" i="2"/>
  <c r="C52" i="2" s="1"/>
  <c r="R31" i="2"/>
  <c r="AD20" i="2"/>
  <c r="R19" i="2"/>
  <c r="AD17" i="2"/>
  <c r="R44" i="2"/>
  <c r="Q28" i="2"/>
  <c r="Q52" i="2" s="1"/>
  <c r="N47" i="2"/>
  <c r="N45" i="2"/>
  <c r="N44" i="2"/>
  <c r="M46" i="2"/>
  <c r="N31" i="2"/>
  <c r="N27" i="2"/>
  <c r="P46" i="2"/>
  <c r="N19" i="2"/>
  <c r="I23" i="2"/>
  <c r="M23" i="2"/>
  <c r="O46" i="2"/>
  <c r="AE30" i="2"/>
  <c r="AF30" i="2" s="1"/>
  <c r="AG30" i="2" s="1"/>
  <c r="AH30" i="2" s="1"/>
  <c r="AI30" i="2" s="1"/>
  <c r="AJ30" i="2" s="1"/>
  <c r="AK30" i="2" s="1"/>
  <c r="AL30" i="2" s="1"/>
  <c r="AM30" i="2" s="1"/>
  <c r="AN30" i="2" s="1"/>
  <c r="K23" i="2"/>
  <c r="O23" i="2"/>
  <c r="L23" i="2"/>
  <c r="P23" i="2"/>
  <c r="X36" i="2"/>
  <c r="X31" i="2"/>
  <c r="X27" i="2"/>
  <c r="X22" i="2"/>
  <c r="X19" i="2"/>
  <c r="Y36" i="2"/>
  <c r="Y31" i="2"/>
  <c r="Y27" i="2"/>
  <c r="Y22" i="2"/>
  <c r="Y19" i="2"/>
  <c r="Z36" i="2"/>
  <c r="Z31" i="2"/>
  <c r="Z27" i="2"/>
  <c r="Z22" i="2"/>
  <c r="Z19" i="2"/>
  <c r="AA36" i="2"/>
  <c r="AA31" i="2"/>
  <c r="AA27" i="2"/>
  <c r="AA22" i="2"/>
  <c r="AA19" i="2"/>
  <c r="AB36" i="2"/>
  <c r="AB31" i="2"/>
  <c r="AB27" i="2"/>
  <c r="AB22" i="2"/>
  <c r="AB19" i="2"/>
  <c r="AC36" i="2"/>
  <c r="AC31" i="2"/>
  <c r="AC27" i="2"/>
  <c r="AC22" i="2"/>
  <c r="AC19" i="2"/>
  <c r="D8" i="1"/>
  <c r="AQ48" i="2" s="1"/>
  <c r="D5" i="1"/>
  <c r="F3" i="1"/>
  <c r="R47" i="2" l="1"/>
  <c r="J49" i="2"/>
  <c r="C32" i="2"/>
  <c r="C35" i="2" s="1"/>
  <c r="J32" i="2"/>
  <c r="J52" i="2"/>
  <c r="AD25" i="2"/>
  <c r="R51" i="2"/>
  <c r="D32" i="2"/>
  <c r="D52" i="2"/>
  <c r="AE17" i="2"/>
  <c r="AF17" i="2" s="1"/>
  <c r="AG17" i="2" s="1"/>
  <c r="AH17" i="2" s="1"/>
  <c r="AI17" i="2" s="1"/>
  <c r="AD44" i="2"/>
  <c r="R46" i="2"/>
  <c r="H32" i="2"/>
  <c r="H52" i="2"/>
  <c r="C53" i="2"/>
  <c r="G32" i="2"/>
  <c r="G52" i="2"/>
  <c r="R45" i="2"/>
  <c r="AD18" i="2"/>
  <c r="AD19" i="2" s="1"/>
  <c r="AD46" i="2" s="1"/>
  <c r="AD24" i="2"/>
  <c r="R27" i="2"/>
  <c r="R50" i="2"/>
  <c r="Q32" i="2"/>
  <c r="Q35" i="2" s="1"/>
  <c r="AD47" i="2"/>
  <c r="I28" i="2"/>
  <c r="I49" i="2"/>
  <c r="M28" i="2"/>
  <c r="M49" i="2"/>
  <c r="N23" i="2"/>
  <c r="N46" i="2"/>
  <c r="Y46" i="2"/>
  <c r="AB46" i="2"/>
  <c r="O28" i="2"/>
  <c r="O49" i="2"/>
  <c r="AE31" i="2"/>
  <c r="K28" i="2"/>
  <c r="K49" i="2"/>
  <c r="L28" i="2"/>
  <c r="L49" i="2"/>
  <c r="P28" i="2"/>
  <c r="P49" i="2"/>
  <c r="D9" i="1"/>
  <c r="AF31" i="2"/>
  <c r="AG29" i="2"/>
  <c r="AC23" i="2"/>
  <c r="AC49" i="2" s="1"/>
  <c r="AC46" i="2"/>
  <c r="Z46" i="2"/>
  <c r="AA46" i="2"/>
  <c r="X23" i="2"/>
  <c r="Y23" i="2"/>
  <c r="Z23" i="2"/>
  <c r="AA23" i="2"/>
  <c r="AB23" i="2"/>
  <c r="AD61" i="2" l="1"/>
  <c r="AD60" i="2"/>
  <c r="G35" i="2"/>
  <c r="G53" i="2"/>
  <c r="D35" i="2"/>
  <c r="D53" i="2"/>
  <c r="J35" i="2"/>
  <c r="J53" i="2"/>
  <c r="AE18" i="2"/>
  <c r="AD45" i="2"/>
  <c r="C37" i="2"/>
  <c r="C54" i="2"/>
  <c r="AE24" i="2"/>
  <c r="AD50" i="2"/>
  <c r="AD27" i="2"/>
  <c r="AE44" i="2"/>
  <c r="R22" i="2"/>
  <c r="R23" i="2" s="1"/>
  <c r="R49" i="2" s="1"/>
  <c r="AD21" i="2"/>
  <c r="AD22" i="2" s="1"/>
  <c r="AD23" i="2" s="1"/>
  <c r="AD49" i="2" s="1"/>
  <c r="AE25" i="2"/>
  <c r="AD51" i="2"/>
  <c r="AE20" i="2"/>
  <c r="R48" i="2"/>
  <c r="H35" i="2"/>
  <c r="H53" i="2"/>
  <c r="Q53" i="2"/>
  <c r="Q37" i="2"/>
  <c r="Q54" i="2"/>
  <c r="I32" i="2"/>
  <c r="I52" i="2"/>
  <c r="N28" i="2"/>
  <c r="N49" i="2"/>
  <c r="M32" i="2"/>
  <c r="M52" i="2"/>
  <c r="O32" i="2"/>
  <c r="O52" i="2"/>
  <c r="K32" i="2"/>
  <c r="K52" i="2"/>
  <c r="AF20" i="2"/>
  <c r="AF44" i="2"/>
  <c r="AE47" i="2"/>
  <c r="L52" i="2"/>
  <c r="L32" i="2"/>
  <c r="P52" i="2"/>
  <c r="P32" i="2"/>
  <c r="AG31" i="2"/>
  <c r="AH29" i="2"/>
  <c r="X28" i="2"/>
  <c r="X32" i="2" s="1"/>
  <c r="X49" i="2"/>
  <c r="AC28" i="2"/>
  <c r="AC32" i="2" s="1"/>
  <c r="Z28" i="2"/>
  <c r="Z32" i="2" s="1"/>
  <c r="Z49" i="2"/>
  <c r="AA28" i="2"/>
  <c r="AA52" i="2" s="1"/>
  <c r="AA49" i="2"/>
  <c r="Y28" i="2"/>
  <c r="Y52" i="2" s="1"/>
  <c r="Y49" i="2"/>
  <c r="AB28" i="2"/>
  <c r="AB52" i="2" s="1"/>
  <c r="AB49" i="2"/>
  <c r="AD28" i="2" l="1"/>
  <c r="AD32" i="2" s="1"/>
  <c r="Z52" i="2"/>
  <c r="R28" i="2"/>
  <c r="D37" i="2"/>
  <c r="D54" i="2"/>
  <c r="H37" i="2"/>
  <c r="H54" i="2"/>
  <c r="AF25" i="2"/>
  <c r="AE51" i="2"/>
  <c r="AF18" i="2"/>
  <c r="AE21" i="2"/>
  <c r="AE45" i="2"/>
  <c r="AE19" i="2"/>
  <c r="AE46" i="2" s="1"/>
  <c r="J37" i="2"/>
  <c r="J54" i="2"/>
  <c r="AF24" i="2"/>
  <c r="AE27" i="2"/>
  <c r="AE50" i="2"/>
  <c r="AD48" i="2"/>
  <c r="G37" i="2"/>
  <c r="G54" i="2"/>
  <c r="I35" i="2"/>
  <c r="I53" i="2"/>
  <c r="M35" i="2"/>
  <c r="M53" i="2"/>
  <c r="N32" i="2"/>
  <c r="N52" i="2"/>
  <c r="AB32" i="2"/>
  <c r="AB35" i="2" s="1"/>
  <c r="AC52" i="2"/>
  <c r="AA32" i="2"/>
  <c r="AA53" i="2" s="1"/>
  <c r="K35" i="2"/>
  <c r="K53" i="2"/>
  <c r="O35" i="2"/>
  <c r="O53" i="2"/>
  <c r="AG44" i="2"/>
  <c r="AG20" i="2"/>
  <c r="AF47" i="2"/>
  <c r="L53" i="2"/>
  <c r="L35" i="2"/>
  <c r="P53" i="2"/>
  <c r="P35" i="2"/>
  <c r="AH31" i="2"/>
  <c r="AI29" i="2"/>
  <c r="X52" i="2"/>
  <c r="Y32" i="2"/>
  <c r="Y35" i="2" s="1"/>
  <c r="X35" i="2"/>
  <c r="X53" i="2"/>
  <c r="Z35" i="2"/>
  <c r="Z53" i="2"/>
  <c r="AC35" i="2"/>
  <c r="AC53" i="2"/>
  <c r="AA35" i="2" l="1"/>
  <c r="AA37" i="2" s="1"/>
  <c r="AD52" i="2"/>
  <c r="AG25" i="2"/>
  <c r="AF51" i="2"/>
  <c r="AG24" i="2"/>
  <c r="AF50" i="2"/>
  <c r="AF27" i="2"/>
  <c r="AG18" i="2"/>
  <c r="AF21" i="2"/>
  <c r="AF45" i="2"/>
  <c r="AF19" i="2"/>
  <c r="AE48" i="2"/>
  <c r="AE22" i="2"/>
  <c r="AE23" i="2" s="1"/>
  <c r="R52" i="2"/>
  <c r="R32" i="2"/>
  <c r="N35" i="2"/>
  <c r="N53" i="2"/>
  <c r="I37" i="2"/>
  <c r="I54" i="2"/>
  <c r="M37" i="2"/>
  <c r="M54" i="2"/>
  <c r="AB53" i="2"/>
  <c r="O37" i="2"/>
  <c r="O54" i="2"/>
  <c r="K37" i="2"/>
  <c r="K54" i="2"/>
  <c r="Y53" i="2"/>
  <c r="AH44" i="2"/>
  <c r="AH20" i="2"/>
  <c r="AG47" i="2"/>
  <c r="L54" i="2"/>
  <c r="L37" i="2"/>
  <c r="P54" i="2"/>
  <c r="P37" i="2"/>
  <c r="AJ29" i="2"/>
  <c r="AI31" i="2"/>
  <c r="X37" i="2"/>
  <c r="X54" i="2"/>
  <c r="Z37" i="2"/>
  <c r="Z54" i="2"/>
  <c r="Y37" i="2"/>
  <c r="Y54" i="2"/>
  <c r="AB37" i="2"/>
  <c r="AB54" i="2"/>
  <c r="AC37" i="2"/>
  <c r="AC54" i="2"/>
  <c r="AA54" i="2" l="1"/>
  <c r="AF48" i="2"/>
  <c r="AF22" i="2"/>
  <c r="AF23" i="2" s="1"/>
  <c r="R35" i="2"/>
  <c r="AH18" i="2"/>
  <c r="AG21" i="2"/>
  <c r="AG45" i="2"/>
  <c r="AG19" i="2"/>
  <c r="AG46" i="2" s="1"/>
  <c r="AE49" i="2"/>
  <c r="AE28" i="2"/>
  <c r="AH24" i="2"/>
  <c r="AG50" i="2"/>
  <c r="AF46" i="2"/>
  <c r="AG27" i="2"/>
  <c r="AH25" i="2"/>
  <c r="AG51" i="2"/>
  <c r="N37" i="2"/>
  <c r="N54" i="2"/>
  <c r="AH47" i="2"/>
  <c r="AI44" i="2"/>
  <c r="AI20" i="2"/>
  <c r="AJ17" i="2"/>
  <c r="AK29" i="2"/>
  <c r="AJ31" i="2"/>
  <c r="AF49" i="2" l="1"/>
  <c r="AF28" i="2"/>
  <c r="AI18" i="2"/>
  <c r="AH21" i="2"/>
  <c r="AH45" i="2"/>
  <c r="AH19" i="2"/>
  <c r="AH46" i="2" s="1"/>
  <c r="R54" i="2"/>
  <c r="R37" i="2"/>
  <c r="AH51" i="2"/>
  <c r="AI25" i="2"/>
  <c r="AI24" i="2"/>
  <c r="AH50" i="2"/>
  <c r="AH27" i="2"/>
  <c r="R53" i="2"/>
  <c r="AD33" i="2"/>
  <c r="AG48" i="2"/>
  <c r="AG22" i="2"/>
  <c r="AG23" i="2" s="1"/>
  <c r="AE52" i="2"/>
  <c r="AE32" i="2"/>
  <c r="AK17" i="2"/>
  <c r="AJ20" i="2"/>
  <c r="AJ44" i="2"/>
  <c r="AI47" i="2"/>
  <c r="AL29" i="2"/>
  <c r="AK31" i="2"/>
  <c r="AD53" i="2" l="1"/>
  <c r="AD35" i="2"/>
  <c r="AG49" i="2"/>
  <c r="AG28" i="2"/>
  <c r="AH48" i="2"/>
  <c r="AH22" i="2"/>
  <c r="AH23" i="2" s="1"/>
  <c r="AE33" i="2"/>
  <c r="AE53" i="2" s="1"/>
  <c r="AE35" i="2"/>
  <c r="AJ24" i="2"/>
  <c r="AI50" i="2"/>
  <c r="AJ18" i="2"/>
  <c r="AI21" i="2"/>
  <c r="AI45" i="2"/>
  <c r="AI19" i="2"/>
  <c r="AI46" i="2" s="1"/>
  <c r="AI27" i="2"/>
  <c r="AI51" i="2"/>
  <c r="AJ25" i="2"/>
  <c r="AF32" i="2"/>
  <c r="AF33" i="2" s="1"/>
  <c r="AF53" i="2" s="1"/>
  <c r="AF52" i="2"/>
  <c r="AJ47" i="2"/>
  <c r="AL17" i="2"/>
  <c r="AK44" i="2"/>
  <c r="AK20" i="2"/>
  <c r="AL31" i="2"/>
  <c r="AM29" i="2"/>
  <c r="AF35" i="2" l="1"/>
  <c r="AF37" i="2" s="1"/>
  <c r="AE37" i="2"/>
  <c r="AE54" i="2"/>
  <c r="AH28" i="2"/>
  <c r="AH49" i="2"/>
  <c r="AI48" i="2"/>
  <c r="AI22" i="2"/>
  <c r="AI23" i="2" s="1"/>
  <c r="AG32" i="2"/>
  <c r="AG52" i="2"/>
  <c r="AK18" i="2"/>
  <c r="AJ45" i="2"/>
  <c r="AJ21" i="2"/>
  <c r="AJ19" i="2"/>
  <c r="AJ46" i="2" s="1"/>
  <c r="AD54" i="2"/>
  <c r="AD37" i="2"/>
  <c r="AJ51" i="2"/>
  <c r="AK25" i="2"/>
  <c r="AK24" i="2"/>
  <c r="AJ50" i="2"/>
  <c r="AJ27" i="2"/>
  <c r="AK47" i="2"/>
  <c r="AM17" i="2"/>
  <c r="AL20" i="2"/>
  <c r="AL44" i="2"/>
  <c r="AM31" i="2"/>
  <c r="AN29" i="2"/>
  <c r="AN31" i="2" s="1"/>
  <c r="AF54" i="2" l="1"/>
  <c r="AG33" i="2"/>
  <c r="AG53" i="2" s="1"/>
  <c r="AL18" i="2"/>
  <c r="AK45" i="2"/>
  <c r="AK21" i="2"/>
  <c r="AK19" i="2"/>
  <c r="AK51" i="2"/>
  <c r="AL25" i="2"/>
  <c r="AI28" i="2"/>
  <c r="AI49" i="2"/>
  <c r="AJ48" i="2"/>
  <c r="AJ22" i="2"/>
  <c r="AJ23" i="2" s="1"/>
  <c r="AL24" i="2"/>
  <c r="AK27" i="2"/>
  <c r="AK50" i="2"/>
  <c r="AH32" i="2"/>
  <c r="AH52" i="2"/>
  <c r="AL47" i="2"/>
  <c r="AN17" i="2"/>
  <c r="AM20" i="2"/>
  <c r="AM44" i="2"/>
  <c r="AG35" i="2" l="1"/>
  <c r="AG54" i="2" s="1"/>
  <c r="AI32" i="2"/>
  <c r="AI52" i="2"/>
  <c r="AK46" i="2"/>
  <c r="AJ49" i="2"/>
  <c r="AJ28" i="2"/>
  <c r="AH33" i="2"/>
  <c r="AH53" i="2" s="1"/>
  <c r="AL51" i="2"/>
  <c r="AM25" i="2"/>
  <c r="AM24" i="2"/>
  <c r="AL50" i="2"/>
  <c r="AL27" i="2"/>
  <c r="AK48" i="2"/>
  <c r="AK22" i="2"/>
  <c r="AK23" i="2" s="1"/>
  <c r="AM18" i="2"/>
  <c r="AL45" i="2"/>
  <c r="AL21" i="2"/>
  <c r="AL19" i="2"/>
  <c r="AM47" i="2"/>
  <c r="AN44" i="2"/>
  <c r="AN20" i="2"/>
  <c r="AG37" i="2" l="1"/>
  <c r="AH35" i="2"/>
  <c r="AH54" i="2" s="1"/>
  <c r="AK49" i="2"/>
  <c r="AK28" i="2"/>
  <c r="AI33" i="2"/>
  <c r="AI53" i="2" s="1"/>
  <c r="AN18" i="2"/>
  <c r="AM45" i="2"/>
  <c r="AM21" i="2"/>
  <c r="AM19" i="2"/>
  <c r="AM46" i="2" s="1"/>
  <c r="AL48" i="2"/>
  <c r="AL22" i="2"/>
  <c r="AL23" i="2" s="1"/>
  <c r="AJ32" i="2"/>
  <c r="AJ52" i="2"/>
  <c r="AL46" i="2"/>
  <c r="AN24" i="2"/>
  <c r="AM50" i="2"/>
  <c r="AM27" i="2"/>
  <c r="AN25" i="2"/>
  <c r="AN51" i="2" s="1"/>
  <c r="AM51" i="2"/>
  <c r="AN47" i="2"/>
  <c r="AH37" i="2" l="1"/>
  <c r="AN50" i="2"/>
  <c r="AN27" i="2"/>
  <c r="AL28" i="2"/>
  <c r="AL49" i="2"/>
  <c r="AK52" i="2"/>
  <c r="AK32" i="2"/>
  <c r="AM48" i="2"/>
  <c r="AM22" i="2"/>
  <c r="AM23" i="2" s="1"/>
  <c r="AN21" i="2"/>
  <c r="AN45" i="2"/>
  <c r="AN19" i="2"/>
  <c r="AN46" i="2" s="1"/>
  <c r="AJ33" i="2"/>
  <c r="AJ53" i="2" s="1"/>
  <c r="AI35" i="2"/>
  <c r="AJ35" i="2" l="1"/>
  <c r="AJ54" i="2" s="1"/>
  <c r="AK33" i="2"/>
  <c r="AK53" i="2" s="1"/>
  <c r="AL32" i="2"/>
  <c r="AL52" i="2"/>
  <c r="AM28" i="2"/>
  <c r="AM49" i="2"/>
  <c r="AI37" i="2"/>
  <c r="AI54" i="2"/>
  <c r="AN48" i="2"/>
  <c r="AN22" i="2"/>
  <c r="AN23" i="2" s="1"/>
  <c r="AJ37" i="2" l="1"/>
  <c r="AK35" i="2"/>
  <c r="AK54" i="2" s="1"/>
  <c r="AN28" i="2"/>
  <c r="AN49" i="2"/>
  <c r="AL33" i="2"/>
  <c r="AL53" i="2" s="1"/>
  <c r="AM32" i="2"/>
  <c r="AM33" i="2" s="1"/>
  <c r="AM53" i="2" s="1"/>
  <c r="AM52" i="2"/>
  <c r="AK37" i="2" l="1"/>
  <c r="AL35" i="2"/>
  <c r="AL37" i="2" s="1"/>
  <c r="AM35" i="2"/>
  <c r="AM54" i="2" s="1"/>
  <c r="AN52" i="2"/>
  <c r="AN32" i="2"/>
  <c r="AM37" i="2" l="1"/>
  <c r="AL54" i="2"/>
  <c r="AN33" i="2"/>
  <c r="AN53" i="2" s="1"/>
  <c r="AN35" i="2" l="1"/>
  <c r="AO35" i="2" s="1"/>
  <c r="AP35" i="2" s="1"/>
  <c r="AQ35" i="2" s="1"/>
  <c r="AR35" i="2" s="1"/>
  <c r="AS35" i="2" s="1"/>
  <c r="AT35" i="2" s="1"/>
  <c r="AU35" i="2" s="1"/>
  <c r="AV35" i="2" s="1"/>
  <c r="AW35" i="2" s="1"/>
  <c r="AX35" i="2" s="1"/>
  <c r="AY35" i="2" s="1"/>
  <c r="AZ35" i="2" s="1"/>
  <c r="BA35" i="2" s="1"/>
  <c r="BB35" i="2" s="1"/>
  <c r="BC35" i="2" s="1"/>
  <c r="BD35" i="2" s="1"/>
  <c r="BE35" i="2" s="1"/>
  <c r="BF35" i="2" s="1"/>
  <c r="BG35" i="2" s="1"/>
  <c r="BH35" i="2" s="1"/>
  <c r="BI35" i="2" s="1"/>
  <c r="BJ35" i="2" s="1"/>
  <c r="BK35" i="2" s="1"/>
  <c r="BL35" i="2" s="1"/>
  <c r="BM35" i="2" s="1"/>
  <c r="BN35" i="2" s="1"/>
  <c r="BO35" i="2" s="1"/>
  <c r="BP35" i="2" s="1"/>
  <c r="BQ35" i="2" s="1"/>
  <c r="BR35" i="2" s="1"/>
  <c r="BS35" i="2" s="1"/>
  <c r="BT35" i="2" s="1"/>
  <c r="BU35" i="2" s="1"/>
  <c r="BV35" i="2" s="1"/>
  <c r="BW35" i="2" s="1"/>
  <c r="BX35" i="2" s="1"/>
  <c r="BY35" i="2" s="1"/>
  <c r="BZ35" i="2" s="1"/>
  <c r="CA35" i="2" s="1"/>
  <c r="CB35" i="2" s="1"/>
  <c r="CC35" i="2" s="1"/>
  <c r="CD35" i="2" s="1"/>
  <c r="CE35" i="2" s="1"/>
  <c r="CF35" i="2" s="1"/>
  <c r="CG35" i="2" s="1"/>
  <c r="CH35" i="2" s="1"/>
  <c r="CI35" i="2" s="1"/>
  <c r="CJ35" i="2" s="1"/>
  <c r="CK35" i="2" s="1"/>
  <c r="CL35" i="2" s="1"/>
  <c r="CM35" i="2" s="1"/>
  <c r="CN35" i="2" s="1"/>
  <c r="CO35" i="2" s="1"/>
  <c r="CP35" i="2" s="1"/>
  <c r="CQ35" i="2" s="1"/>
  <c r="CR35" i="2" s="1"/>
  <c r="CS35" i="2" s="1"/>
  <c r="CT35" i="2" s="1"/>
  <c r="CU35" i="2" s="1"/>
  <c r="CV35" i="2" s="1"/>
  <c r="CW35" i="2" s="1"/>
  <c r="CX35" i="2" s="1"/>
  <c r="CY35" i="2" s="1"/>
  <c r="CZ35" i="2" s="1"/>
  <c r="DA35" i="2" s="1"/>
  <c r="DB35" i="2" s="1"/>
  <c r="DC35" i="2" s="1"/>
  <c r="DD35" i="2" s="1"/>
  <c r="DE35" i="2" s="1"/>
  <c r="DF35" i="2" s="1"/>
  <c r="DG35" i="2" s="1"/>
  <c r="DH35" i="2" s="1"/>
  <c r="DI35" i="2" s="1"/>
  <c r="DJ35" i="2" s="1"/>
  <c r="DK35" i="2" s="1"/>
  <c r="DL35" i="2" s="1"/>
  <c r="DM35" i="2" s="1"/>
  <c r="DN35" i="2" s="1"/>
  <c r="DO35" i="2" s="1"/>
  <c r="DP35" i="2" s="1"/>
  <c r="DQ35" i="2" s="1"/>
  <c r="DR35" i="2" s="1"/>
  <c r="DS35" i="2" s="1"/>
  <c r="DT35" i="2" s="1"/>
  <c r="DU35" i="2" s="1"/>
  <c r="DV35" i="2" s="1"/>
  <c r="DW35" i="2" s="1"/>
  <c r="DX35" i="2" s="1"/>
  <c r="DY35" i="2" s="1"/>
  <c r="DZ35" i="2" s="1"/>
  <c r="EA35" i="2" s="1"/>
  <c r="EB35" i="2" s="1"/>
  <c r="EC35" i="2" s="1"/>
  <c r="ED35" i="2" s="1"/>
  <c r="EE35" i="2" s="1"/>
  <c r="EF35" i="2" s="1"/>
  <c r="EG35" i="2" s="1"/>
  <c r="EH35" i="2" s="1"/>
  <c r="EI35" i="2" s="1"/>
  <c r="EJ35" i="2" s="1"/>
  <c r="AQ47" i="2" s="1"/>
  <c r="AQ49" i="2" s="1"/>
  <c r="AQ50" i="2" s="1"/>
  <c r="AQ52" i="2" s="1"/>
  <c r="AN54" i="2" l="1"/>
  <c r="AN37" i="2"/>
</calcChain>
</file>

<file path=xl/sharedStrings.xml><?xml version="1.0" encoding="utf-8"?>
<sst xmlns="http://schemas.openxmlformats.org/spreadsheetml/2006/main" count="96" uniqueCount="90">
  <si>
    <t>HON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</si>
  <si>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</si>
  <si>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</si>
  <si>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</si>
  <si>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</si>
  <si>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</si>
  <si>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</si>
  <si>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</si>
  <si>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</si>
  <si>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</si>
  <si>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</si>
  <si>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</si>
  <si>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</si>
  <si>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</si>
  <si>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</si>
  <si>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</si>
  <si>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</si>
  <si>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</si>
  <si>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</si>
  <si>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</si>
  <si>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G&amp;A</t>
  </si>
  <si>
    <t>Impairment</t>
  </si>
  <si>
    <t>Other expense</t>
  </si>
  <si>
    <t>Total operating expense</t>
  </si>
  <si>
    <t>Operating profit</t>
  </si>
  <si>
    <t>Total other expense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</si>
  <si>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</si>
  <si>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</si>
  <si>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</si>
  <si>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</si>
  <si>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</si>
  <si>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</si>
  <si>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</si>
  <si>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</si>
  <si>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</si>
  <si>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</si>
  <si>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</si>
  <si>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</si>
  <si>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</si>
  <si>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</si>
  <si>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</si>
  <si>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</si>
  <si>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</si>
  <si>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</si>
  <si>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</si>
  <si>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</si>
  <si>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</si>
  <si>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</si>
  <si>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</si>
  <si>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</si>
  <si>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</si>
  <si>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</si>
  <si>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</si>
  <si>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</si>
  <si>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</si>
  <si>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</si>
  <si>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</si>
  <si>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</si>
  <si>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</si>
  <si>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</si>
  <si>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</si>
  <si>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</si>
  <si>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</si>
  <si>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</si>
  <si>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</si>
  <si>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</si>
  <si>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</si>
  <si>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</si>
  <si>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</si>
  <si>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</si>
  <si>
    <t>Aerospace Technologies</t>
  </si>
  <si>
    <t>Industrial Automation</t>
  </si>
  <si>
    <t>Building Automation</t>
  </si>
  <si>
    <t>Energy Solutions</t>
  </si>
  <si>
    <t>Aerospace Technologies y/y</t>
  </si>
  <si>
    <t>Industrial Automation y/y</t>
  </si>
  <si>
    <t>Building Automation y/y</t>
  </si>
  <si>
    <t>Energy Solutions y/y</t>
  </si>
  <si>
    <t>Aerospace Technologies backlog</t>
  </si>
  <si>
    <t>Industrial Automation backlog</t>
  </si>
  <si>
    <t>Building Automation backlog</t>
  </si>
  <si>
    <t>Energy Solutions backlog</t>
  </si>
  <si>
    <t>Total backlog</t>
  </si>
  <si>
    <t>Other backlog</t>
  </si>
  <si>
    <t>Q126</t>
  </si>
  <si>
    <t>Q226</t>
  </si>
  <si>
    <t>Q326</t>
  </si>
  <si>
    <t>Q426</t>
  </si>
  <si>
    <t>Corporate and other</t>
  </si>
  <si>
    <t>something wrong with these statements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</si>
</sst>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2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3" fontId="5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22860</xdr:colOff>
      <xdr:row>0</xdr:row>
      <xdr:rowOff>0</xdr:rowOff>
    </xdr:from>
    <xdr:to>
      <xdr:col>30</xdr:col>
      <xdr:colOff>22860</xdr:colOff>
      <xdr:row>59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11B458E-3914-46AD-6435-C6425FC2E9C6}"/>
            </a:ext>
          </a:extLst>
        </xdr:cNvPr>
        <xdr:cNvCxnSpPr/>
      </xdr:nvCxnSpPr>
      <xdr:spPr>
        <a:xfrm>
          <a:off x="17167860" y="0"/>
          <a:ext cx="0" cy="107137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30480</xdr:colOff>
      <xdr:row>0</xdr:row>
      <xdr:rowOff>7620</xdr:rowOff>
    </xdr:from>
    <xdr:to>
      <xdr:col>18</xdr:col>
      <xdr:colOff>30480</xdr:colOff>
      <xdr:row>58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636523D-D7A8-136C-838A-8D31496AE002}"/>
            </a:ext>
          </a:extLst>
        </xdr:cNvPr>
        <xdr:cNvCxnSpPr/>
      </xdr:nvCxnSpPr>
      <xdr:spPr>
        <a:xfrm>
          <a:off x="12298680" y="7620"/>
          <a:ext cx="0" cy="10523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771BB-2F6F-49C6-9C95-CE13E10764DE}">
  <dimension ref="B2:G9"/>
  <sheetViews>
    <sheetView tabSelected="1" workbookViewId="0">
      <selection activeCell="E7" sqref="E7"/>
    </sheetView>
  </sheetViews>
  <sheetFormatPr defaultRowHeight="14.4" x14ac:dyDescent="0.3"/>
  <cols>
    <col min="1" max="4" width="8.88671875" style="1"/>
    <col min="5" max="7" width="12.777343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241.38</v>
      </c>
      <c r="E3" s="4">
        <v>46067</v>
      </c>
      <c r="F3" s="4">
        <f ca="1">TODAY()</f>
        <v>46067</v>
      </c>
      <c r="G3" s="4">
        <v>46135</v>
      </c>
    </row>
    <row r="4" spans="2:7" x14ac:dyDescent="0.3">
      <c r="C4" s="1" t="s">
        <v>2</v>
      </c>
      <c r="D4" s="6">
        <f>635.2</f>
        <v>635.20000000000005</v>
      </c>
      <c r="E4" s="3" t="s">
        <v>46</v>
      </c>
    </row>
    <row r="5" spans="2:7" x14ac:dyDescent="0.3">
      <c r="C5" s="1" t="s">
        <v>3</v>
      </c>
      <c r="D5" s="6">
        <f>D3*D4</f>
        <v>153324.576</v>
      </c>
    </row>
    <row r="6" spans="2:7" x14ac:dyDescent="0.3">
      <c r="C6" s="1" t="s">
        <v>4</v>
      </c>
      <c r="D6" s="6">
        <f>12487+443</f>
        <v>12930</v>
      </c>
      <c r="E6" s="3" t="s">
        <v>46</v>
      </c>
    </row>
    <row r="7" spans="2:7" x14ac:dyDescent="0.3">
      <c r="C7" s="1" t="s">
        <v>5</v>
      </c>
      <c r="D7" s="6">
        <f>5893+1546+27141</f>
        <v>34580</v>
      </c>
      <c r="E7" s="3" t="s">
        <v>46</v>
      </c>
    </row>
    <row r="8" spans="2:7" x14ac:dyDescent="0.3">
      <c r="C8" s="1" t="s">
        <v>6</v>
      </c>
      <c r="D8" s="6">
        <f>D6-D7</f>
        <v>-21650</v>
      </c>
    </row>
    <row r="9" spans="2:7" x14ac:dyDescent="0.3">
      <c r="C9" s="1" t="s">
        <v>7</v>
      </c>
      <c r="D9" s="6">
        <f>D5-D8</f>
        <v>174974.576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1FB57-91F3-4052-BB69-223C5CE863B6}">
  <dimension ref="B2:EJ61"/>
  <sheetViews>
    <sheetView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R37" sqref="R37"/>
    </sheetView>
  </sheetViews>
  <sheetFormatPr defaultRowHeight="14.4" x14ac:dyDescent="0.3"/>
  <cols>
    <col min="1" max="1" width="8.88671875" style="1"/>
    <col min="2" max="2" width="27.77734375" style="1" bestFit="1" customWidth="1"/>
    <col min="3" max="41" width="8.88671875" style="1"/>
    <col min="42" max="42" width="11.88671875" style="1" bestFit="1" customWidth="1"/>
    <col min="43" max="43" width="16.21875" style="1" bestFit="1" customWidth="1"/>
    <col min="44" max="16384" width="8.88671875" style="1"/>
  </cols>
  <sheetData>
    <row r="2" spans="2:40" x14ac:dyDescent="0.3">
      <c r="C2" s="7" t="s">
        <v>32</v>
      </c>
      <c r="D2" s="7" t="s">
        <v>33</v>
      </c>
      <c r="E2" s="7" t="s">
        <v>34</v>
      </c>
      <c r="F2" s="7" t="s">
        <v>35</v>
      </c>
      <c r="G2" s="7" t="s">
        <v>36</v>
      </c>
      <c r="H2" s="7" t="s">
        <v>37</v>
      </c>
      <c r="I2" s="7" t="s">
        <v>38</v>
      </c>
      <c r="J2" s="7" t="s">
        <v>39</v>
      </c>
      <c r="K2" s="7" t="s">
        <v>40</v>
      </c>
      <c r="L2" s="7" t="s">
        <v>41</v>
      </c>
      <c r="M2" s="7" t="s">
        <v>42</v>
      </c>
      <c r="N2" s="7" t="s">
        <v>11</v>
      </c>
      <c r="O2" s="7" t="s">
        <v>43</v>
      </c>
      <c r="P2" s="7" t="s">
        <v>44</v>
      </c>
      <c r="Q2" s="7" t="s">
        <v>45</v>
      </c>
      <c r="R2" s="7" t="s">
        <v>46</v>
      </c>
      <c r="S2" s="7" t="s">
        <v>84</v>
      </c>
      <c r="T2" s="7" t="s">
        <v>85</v>
      </c>
      <c r="U2" s="7" t="s">
        <v>86</v>
      </c>
      <c r="V2" s="7" t="s">
        <v>87</v>
      </c>
      <c r="X2" s="1">
        <v>2019</v>
      </c>
      <c r="Y2" s="1">
        <v>2020</v>
      </c>
      <c r="Z2" s="1">
        <v>2021</v>
      </c>
      <c r="AA2" s="1">
        <v>2022</v>
      </c>
      <c r="AB2" s="1">
        <v>2023</v>
      </c>
      <c r="AC2" s="1">
        <v>2024</v>
      </c>
      <c r="AD2" s="1">
        <v>2025</v>
      </c>
      <c r="AE2" s="1">
        <v>2026</v>
      </c>
      <c r="AF2" s="1">
        <v>2027</v>
      </c>
      <c r="AG2" s="1">
        <v>2028</v>
      </c>
      <c r="AH2" s="1">
        <v>2029</v>
      </c>
      <c r="AI2" s="1">
        <v>2030</v>
      </c>
      <c r="AJ2" s="1">
        <v>2031</v>
      </c>
      <c r="AK2" s="1">
        <v>2032</v>
      </c>
      <c r="AL2" s="1">
        <v>2033</v>
      </c>
      <c r="AM2" s="1">
        <v>2034</v>
      </c>
      <c r="AN2" s="1">
        <v>2035</v>
      </c>
    </row>
    <row r="3" spans="2:40" x14ac:dyDescent="0.3">
      <c r="B3" s="1" t="s">
        <v>78</v>
      </c>
      <c r="C3" s="7"/>
      <c r="D3" s="7"/>
      <c r="E3" s="7"/>
      <c r="F3" s="7"/>
      <c r="G3" s="7"/>
      <c r="H3" s="7"/>
      <c r="I3" s="7"/>
      <c r="J3" s="7"/>
      <c r="K3" s="7"/>
      <c r="L3" s="7"/>
      <c r="M3" s="15"/>
      <c r="N3" s="7"/>
      <c r="O3" s="7"/>
      <c r="P3" s="7"/>
      <c r="Q3" s="15">
        <v>17503</v>
      </c>
      <c r="R3" s="7"/>
      <c r="S3" s="7"/>
      <c r="T3" s="7"/>
      <c r="U3" s="7"/>
      <c r="V3" s="7"/>
      <c r="AD3" s="15">
        <v>17503</v>
      </c>
    </row>
    <row r="4" spans="2:40" x14ac:dyDescent="0.3">
      <c r="B4" s="1" t="s">
        <v>79</v>
      </c>
      <c r="C4" s="7"/>
      <c r="D4" s="7"/>
      <c r="E4" s="7"/>
      <c r="F4" s="7"/>
      <c r="G4" s="7"/>
      <c r="H4" s="7"/>
      <c r="I4" s="7"/>
      <c r="J4" s="7"/>
      <c r="K4" s="7"/>
      <c r="L4" s="7"/>
      <c r="M4" s="15"/>
      <c r="N4" s="7"/>
      <c r="O4" s="7"/>
      <c r="P4" s="7"/>
      <c r="Q4" s="15">
        <v>5435</v>
      </c>
      <c r="R4" s="7"/>
      <c r="S4" s="7"/>
      <c r="T4" s="7"/>
      <c r="U4" s="7"/>
      <c r="V4" s="7"/>
      <c r="AD4" s="15">
        <v>5435</v>
      </c>
    </row>
    <row r="5" spans="2:40" x14ac:dyDescent="0.3">
      <c r="B5" s="1" t="s">
        <v>80</v>
      </c>
      <c r="C5" s="7"/>
      <c r="D5" s="7"/>
      <c r="E5" s="7"/>
      <c r="F5" s="7"/>
      <c r="G5" s="7"/>
      <c r="H5" s="7"/>
      <c r="I5" s="7"/>
      <c r="J5" s="7"/>
      <c r="K5" s="7"/>
      <c r="L5" s="7"/>
      <c r="M5" s="15"/>
      <c r="N5" s="7"/>
      <c r="O5" s="7"/>
      <c r="P5" s="7"/>
      <c r="Q5" s="15">
        <v>9050</v>
      </c>
      <c r="R5" s="7"/>
      <c r="S5" s="7"/>
      <c r="T5" s="7"/>
      <c r="U5" s="7"/>
      <c r="V5" s="7"/>
      <c r="AD5" s="15">
        <v>9050</v>
      </c>
    </row>
    <row r="6" spans="2:40" x14ac:dyDescent="0.3">
      <c r="B6" s="1" t="s">
        <v>81</v>
      </c>
      <c r="C6" s="7"/>
      <c r="D6" s="7"/>
      <c r="E6" s="7"/>
      <c r="F6" s="7"/>
      <c r="G6" s="7"/>
      <c r="H6" s="7"/>
      <c r="I6" s="7"/>
      <c r="J6" s="7"/>
      <c r="K6" s="7"/>
      <c r="L6" s="7"/>
      <c r="M6" s="15"/>
      <c r="N6" s="7"/>
      <c r="O6" s="7"/>
      <c r="P6" s="7"/>
      <c r="Q6" s="15">
        <v>7078</v>
      </c>
      <c r="R6" s="7"/>
      <c r="S6" s="7"/>
      <c r="T6" s="7"/>
      <c r="U6" s="7"/>
      <c r="V6" s="7"/>
      <c r="AD6" s="15">
        <v>7078</v>
      </c>
    </row>
    <row r="7" spans="2:40" x14ac:dyDescent="0.3">
      <c r="B7" s="1" t="s">
        <v>83</v>
      </c>
      <c r="C7" s="7"/>
      <c r="D7" s="7"/>
      <c r="E7" s="7"/>
      <c r="F7" s="7"/>
      <c r="G7" s="7"/>
      <c r="H7" s="7"/>
      <c r="I7" s="7"/>
      <c r="J7" s="7"/>
      <c r="K7" s="7"/>
      <c r="L7" s="7"/>
      <c r="M7" s="15"/>
      <c r="N7" s="7"/>
      <c r="O7" s="7"/>
      <c r="P7" s="7"/>
      <c r="Q7" s="15">
        <v>21</v>
      </c>
      <c r="R7" s="7"/>
      <c r="S7" s="7"/>
      <c r="T7" s="7"/>
      <c r="U7" s="7"/>
      <c r="V7" s="7"/>
      <c r="AD7" s="15">
        <v>21</v>
      </c>
    </row>
    <row r="8" spans="2:40" s="2" customFormat="1" x14ac:dyDescent="0.3">
      <c r="B8" s="2" t="s">
        <v>82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7"/>
      <c r="N8" s="16"/>
      <c r="O8" s="16"/>
      <c r="P8" s="16"/>
      <c r="Q8" s="17">
        <f>SUM(Q3:Q7)</f>
        <v>39087</v>
      </c>
      <c r="R8" s="16"/>
      <c r="S8" s="16"/>
      <c r="T8" s="16"/>
      <c r="U8" s="16"/>
      <c r="V8" s="16"/>
      <c r="AD8" s="17">
        <f>SUM(AD3:AD7)</f>
        <v>39087</v>
      </c>
    </row>
    <row r="9" spans="2:40" x14ac:dyDescent="0.3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</row>
    <row r="10" spans="2:40" x14ac:dyDescent="0.3">
      <c r="B10" s="1" t="s">
        <v>70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15">
        <v>3912</v>
      </c>
      <c r="N10" s="7"/>
      <c r="O10" s="7"/>
      <c r="P10" s="7"/>
      <c r="Q10" s="15">
        <v>4511</v>
      </c>
      <c r="R10" s="15">
        <v>4520</v>
      </c>
      <c r="S10" s="7"/>
      <c r="T10" s="7"/>
      <c r="U10" s="7"/>
      <c r="V10" s="7"/>
    </row>
    <row r="11" spans="2:40" x14ac:dyDescent="0.3">
      <c r="B11" s="1" t="s">
        <v>71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15">
        <v>2501</v>
      </c>
      <c r="N11" s="7"/>
      <c r="O11" s="7"/>
      <c r="P11" s="7"/>
      <c r="Q11" s="15">
        <v>2274</v>
      </c>
      <c r="R11" s="15">
        <v>2369</v>
      </c>
      <c r="S11" s="7"/>
      <c r="T11" s="7"/>
      <c r="U11" s="7"/>
      <c r="V11" s="7"/>
    </row>
    <row r="12" spans="2:40" x14ac:dyDescent="0.3">
      <c r="B12" s="1" t="s">
        <v>72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15">
        <v>1745</v>
      </c>
      <c r="N12" s="7"/>
      <c r="O12" s="7"/>
      <c r="P12" s="7"/>
      <c r="Q12" s="15">
        <v>1878</v>
      </c>
      <c r="R12" s="15">
        <v>1971</v>
      </c>
      <c r="S12" s="18" t="s">
        <v>89</v>
      </c>
      <c r="T12" s="7"/>
      <c r="U12" s="7"/>
      <c r="V12" s="7"/>
    </row>
    <row r="13" spans="2:40" x14ac:dyDescent="0.3">
      <c r="B13" s="1" t="s">
        <v>73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15">
        <v>1563</v>
      </c>
      <c r="N13" s="7"/>
      <c r="O13" s="7"/>
      <c r="P13" s="7"/>
      <c r="Q13" s="15">
        <v>1742</v>
      </c>
      <c r="R13" s="15">
        <v>892</v>
      </c>
      <c r="S13" s="7"/>
      <c r="T13" s="7"/>
      <c r="U13" s="7"/>
      <c r="V13" s="7"/>
    </row>
    <row r="14" spans="2:40" x14ac:dyDescent="0.3">
      <c r="B14" s="1" t="s">
        <v>88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15"/>
      <c r="N14" s="7"/>
      <c r="O14" s="7"/>
      <c r="P14" s="7"/>
      <c r="Q14" s="15"/>
      <c r="R14" s="15">
        <v>6</v>
      </c>
      <c r="S14" s="7"/>
      <c r="T14" s="7"/>
      <c r="U14" s="7"/>
      <c r="V14" s="7"/>
    </row>
    <row r="15" spans="2:40" s="2" customFormat="1" x14ac:dyDescent="0.3">
      <c r="B15" s="2" t="s">
        <v>14</v>
      </c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7">
        <f>SUM(M10:M13)</f>
        <v>9721</v>
      </c>
      <c r="N15" s="16"/>
      <c r="O15" s="16"/>
      <c r="P15" s="16"/>
      <c r="Q15" s="17">
        <f>SUM(Q10:Q13)</f>
        <v>10405</v>
      </c>
      <c r="R15" s="17">
        <f>SUM(R10:R14)</f>
        <v>9758</v>
      </c>
      <c r="S15" s="16"/>
      <c r="T15" s="16"/>
      <c r="U15" s="16"/>
      <c r="V15" s="16"/>
    </row>
    <row r="16" spans="2:40" x14ac:dyDescent="0.3"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</row>
    <row r="17" spans="2:40" x14ac:dyDescent="0.3">
      <c r="B17" s="1" t="s">
        <v>12</v>
      </c>
      <c r="C17" s="6">
        <v>6132</v>
      </c>
      <c r="D17" s="6">
        <v>6684</v>
      </c>
      <c r="G17" s="6">
        <v>6310</v>
      </c>
      <c r="H17" s="6">
        <v>6441</v>
      </c>
      <c r="I17" s="6">
        <v>6294</v>
      </c>
      <c r="J17" s="6">
        <f>AB17-I17-H17-G17</f>
        <v>6728</v>
      </c>
      <c r="K17" s="6">
        <v>6263</v>
      </c>
      <c r="L17" s="6">
        <v>6477</v>
      </c>
      <c r="M17" s="6">
        <v>6590</v>
      </c>
      <c r="N17" s="6">
        <f>AC17-M17-L17-K17</f>
        <v>6949</v>
      </c>
      <c r="O17" s="6">
        <v>6645</v>
      </c>
      <c r="P17" s="6">
        <v>7119</v>
      </c>
      <c r="Q17" s="6">
        <v>7086</v>
      </c>
      <c r="R17" s="6">
        <v>6351</v>
      </c>
      <c r="S17" s="6"/>
      <c r="T17" s="6"/>
      <c r="U17" s="6"/>
      <c r="V17" s="6"/>
      <c r="X17" s="6">
        <v>27629</v>
      </c>
      <c r="Y17" s="6">
        <v>24737</v>
      </c>
      <c r="Z17" s="6">
        <v>25643</v>
      </c>
      <c r="AA17" s="6">
        <v>25960</v>
      </c>
      <c r="AB17" s="6">
        <v>25773</v>
      </c>
      <c r="AC17" s="6">
        <v>26279</v>
      </c>
      <c r="AD17" s="6">
        <f>SUM(O17:R17)</f>
        <v>27201</v>
      </c>
      <c r="AE17" s="6">
        <f>AD17*1.06</f>
        <v>28833.06</v>
      </c>
      <c r="AF17" s="6">
        <f>AE17*1.05</f>
        <v>30274.713000000003</v>
      </c>
      <c r="AG17" s="6">
        <f>AF17*1.04</f>
        <v>31485.701520000006</v>
      </c>
      <c r="AH17" s="6">
        <f>AG17*1.03</f>
        <v>32430.272565600008</v>
      </c>
      <c r="AI17" s="6">
        <f t="shared" ref="AI17" si="0">AH17*1.02</f>
        <v>33078.878016912007</v>
      </c>
      <c r="AJ17" s="6">
        <f t="shared" ref="AJ17:AN17" si="1">AI17*1.01</f>
        <v>33409.666797081125</v>
      </c>
      <c r="AK17" s="6">
        <f t="shared" si="1"/>
        <v>33743.763465051939</v>
      </c>
      <c r="AL17" s="6">
        <f t="shared" si="1"/>
        <v>34081.201099702463</v>
      </c>
      <c r="AM17" s="6">
        <f t="shared" si="1"/>
        <v>34422.013110699489</v>
      </c>
      <c r="AN17" s="6">
        <f t="shared" si="1"/>
        <v>34766.233241806483</v>
      </c>
    </row>
    <row r="18" spans="2:40" x14ac:dyDescent="0.3">
      <c r="B18" s="1" t="s">
        <v>13</v>
      </c>
      <c r="C18" s="6">
        <v>2244</v>
      </c>
      <c r="D18" s="6">
        <v>2269</v>
      </c>
      <c r="G18" s="6">
        <v>2554</v>
      </c>
      <c r="H18" s="6">
        <v>2705</v>
      </c>
      <c r="I18" s="6">
        <v>2918</v>
      </c>
      <c r="J18" s="6">
        <f>AB18-I18-H18-G18</f>
        <v>2712</v>
      </c>
      <c r="K18" s="6">
        <v>2842</v>
      </c>
      <c r="L18" s="6">
        <v>3100</v>
      </c>
      <c r="M18" s="6">
        <v>3138</v>
      </c>
      <c r="N18" s="6">
        <f>AC18-M18-L18-K18</f>
        <v>3139</v>
      </c>
      <c r="O18" s="6">
        <v>3177</v>
      </c>
      <c r="P18" s="6">
        <v>3233</v>
      </c>
      <c r="Q18" s="6">
        <v>3322</v>
      </c>
      <c r="R18" s="6">
        <v>3407</v>
      </c>
      <c r="S18" s="6"/>
      <c r="T18" s="6"/>
      <c r="U18" s="6"/>
      <c r="V18" s="6"/>
      <c r="X18" s="6">
        <v>9080</v>
      </c>
      <c r="Y18" s="6">
        <v>7900</v>
      </c>
      <c r="Z18" s="6">
        <v>8749</v>
      </c>
      <c r="AA18" s="6">
        <v>9506</v>
      </c>
      <c r="AB18" s="6">
        <v>10889</v>
      </c>
      <c r="AC18" s="6">
        <v>12219</v>
      </c>
      <c r="AD18" s="6">
        <f>SUM(O18:R18)</f>
        <v>13139</v>
      </c>
      <c r="AE18" s="6">
        <f>AD18*1.06</f>
        <v>13927.34</v>
      </c>
      <c r="AF18" s="6">
        <f>AE18*1.05</f>
        <v>14623.707</v>
      </c>
      <c r="AG18" s="6">
        <f>AF18*1.04</f>
        <v>15208.655280000001</v>
      </c>
      <c r="AH18" s="6">
        <f>AG18*1.03</f>
        <v>15664.914938400001</v>
      </c>
      <c r="AI18" s="6">
        <f>AH18*1.03</f>
        <v>16134.862386552002</v>
      </c>
      <c r="AJ18" s="6">
        <f t="shared" ref="AJ18:AN18" si="2">AI18*1.02</f>
        <v>16457.559634283043</v>
      </c>
      <c r="AK18" s="6">
        <f t="shared" si="2"/>
        <v>16786.710826968705</v>
      </c>
      <c r="AL18" s="6">
        <f t="shared" si="2"/>
        <v>17122.44504350808</v>
      </c>
      <c r="AM18" s="6">
        <f t="shared" si="2"/>
        <v>17464.89394437824</v>
      </c>
      <c r="AN18" s="6">
        <f t="shared" si="2"/>
        <v>17814.191823265806</v>
      </c>
    </row>
    <row r="19" spans="2:40" s="2" customFormat="1" x14ac:dyDescent="0.3">
      <c r="B19" s="2" t="s">
        <v>14</v>
      </c>
      <c r="C19" s="9">
        <f t="shared" ref="C19" si="3">C17+C18</f>
        <v>8376</v>
      </c>
      <c r="D19" s="9">
        <f t="shared" ref="D19" si="4">D17+D18</f>
        <v>8953</v>
      </c>
      <c r="G19" s="9">
        <f t="shared" ref="G19" si="5">G17+G18</f>
        <v>8864</v>
      </c>
      <c r="H19" s="9">
        <f t="shared" ref="H19:I19" si="6">H17+H18</f>
        <v>9146</v>
      </c>
      <c r="I19" s="9">
        <f t="shared" si="6"/>
        <v>9212</v>
      </c>
      <c r="J19" s="9">
        <f t="shared" ref="J19:K19" si="7">J17+J18</f>
        <v>9440</v>
      </c>
      <c r="K19" s="9">
        <f t="shared" si="7"/>
        <v>9105</v>
      </c>
      <c r="L19" s="9">
        <f t="shared" ref="L19:M19" si="8">L17+L18</f>
        <v>9577</v>
      </c>
      <c r="M19" s="9">
        <f t="shared" si="8"/>
        <v>9728</v>
      </c>
      <c r="N19" s="9">
        <f t="shared" ref="N19" si="9">N17+N18</f>
        <v>10088</v>
      </c>
      <c r="O19" s="9">
        <f t="shared" ref="O19:R19" si="10">O17+O18</f>
        <v>9822</v>
      </c>
      <c r="P19" s="9">
        <f t="shared" si="10"/>
        <v>10352</v>
      </c>
      <c r="Q19" s="9">
        <f t="shared" si="10"/>
        <v>10408</v>
      </c>
      <c r="R19" s="9">
        <f t="shared" si="10"/>
        <v>9758</v>
      </c>
      <c r="S19" s="9"/>
      <c r="T19" s="9"/>
      <c r="U19" s="9"/>
      <c r="V19" s="9"/>
      <c r="X19" s="9">
        <f t="shared" ref="X19:AD19" si="11">X17+X18</f>
        <v>36709</v>
      </c>
      <c r="Y19" s="9">
        <f t="shared" si="11"/>
        <v>32637</v>
      </c>
      <c r="Z19" s="9">
        <f t="shared" si="11"/>
        <v>34392</v>
      </c>
      <c r="AA19" s="9">
        <f t="shared" si="11"/>
        <v>35466</v>
      </c>
      <c r="AB19" s="9">
        <f t="shared" si="11"/>
        <v>36662</v>
      </c>
      <c r="AC19" s="9">
        <f t="shared" si="11"/>
        <v>38498</v>
      </c>
      <c r="AD19" s="9">
        <f t="shared" si="11"/>
        <v>40340</v>
      </c>
      <c r="AE19" s="9">
        <f t="shared" ref="AE19:AN19" si="12">AE17+AE18</f>
        <v>42760.4</v>
      </c>
      <c r="AF19" s="9">
        <f t="shared" si="12"/>
        <v>44898.420000000006</v>
      </c>
      <c r="AG19" s="9">
        <f t="shared" si="12"/>
        <v>46694.356800000009</v>
      </c>
      <c r="AH19" s="9">
        <f t="shared" si="12"/>
        <v>48095.187504000009</v>
      </c>
      <c r="AI19" s="9">
        <f t="shared" si="12"/>
        <v>49213.740403464006</v>
      </c>
      <c r="AJ19" s="9">
        <f t="shared" si="12"/>
        <v>49867.226431364164</v>
      </c>
      <c r="AK19" s="9">
        <f t="shared" si="12"/>
        <v>50530.474292020648</v>
      </c>
      <c r="AL19" s="9">
        <f t="shared" si="12"/>
        <v>51203.646143210543</v>
      </c>
      <c r="AM19" s="9">
        <f t="shared" si="12"/>
        <v>51886.907055077725</v>
      </c>
      <c r="AN19" s="9">
        <f t="shared" si="12"/>
        <v>52580.42506507229</v>
      </c>
    </row>
    <row r="20" spans="2:40" x14ac:dyDescent="0.3">
      <c r="B20" s="1" t="s">
        <v>15</v>
      </c>
      <c r="C20" s="6">
        <v>4059</v>
      </c>
      <c r="D20" s="6">
        <v>4329</v>
      </c>
      <c r="G20" s="6">
        <v>4068</v>
      </c>
      <c r="H20" s="6">
        <v>4133</v>
      </c>
      <c r="I20" s="6">
        <v>4090</v>
      </c>
      <c r="J20" s="6">
        <f t="shared" ref="J20:J21" si="13">AB20-I20-H20-G20</f>
        <v>4686</v>
      </c>
      <c r="K20" s="6">
        <v>4035</v>
      </c>
      <c r="L20" s="6">
        <v>4247</v>
      </c>
      <c r="M20" s="6">
        <v>4166</v>
      </c>
      <c r="N20" s="6">
        <f t="shared" ref="N20:N21" si="14">AC20-M20-L20-K20</f>
        <v>4779</v>
      </c>
      <c r="O20" s="6">
        <v>4251</v>
      </c>
      <c r="P20" s="6">
        <v>4548</v>
      </c>
      <c r="Q20" s="6">
        <v>4734</v>
      </c>
      <c r="R20" s="6">
        <v>4360</v>
      </c>
      <c r="S20" s="6"/>
      <c r="T20" s="6"/>
      <c r="U20" s="6"/>
      <c r="V20" s="6"/>
      <c r="X20" s="6">
        <v>19269</v>
      </c>
      <c r="Y20" s="6">
        <v>17638</v>
      </c>
      <c r="Z20" s="6">
        <v>18344</v>
      </c>
      <c r="AA20" s="6">
        <v>16955</v>
      </c>
      <c r="AB20" s="6">
        <v>16977</v>
      </c>
      <c r="AC20" s="6">
        <v>17227</v>
      </c>
      <c r="AD20" s="6">
        <f t="shared" ref="AD20:AD21" si="15">SUM(O20:R20)</f>
        <v>17893</v>
      </c>
      <c r="AE20" s="6">
        <f t="shared" ref="AE20:AN20" si="16">AE17*0.66</f>
        <v>19029.819600000003</v>
      </c>
      <c r="AF20" s="6">
        <f t="shared" si="16"/>
        <v>19981.310580000005</v>
      </c>
      <c r="AG20" s="6">
        <f t="shared" si="16"/>
        <v>20780.563003200004</v>
      </c>
      <c r="AH20" s="6">
        <f t="shared" si="16"/>
        <v>21403.979893296008</v>
      </c>
      <c r="AI20" s="6">
        <f t="shared" si="16"/>
        <v>21832.059491161926</v>
      </c>
      <c r="AJ20" s="6">
        <f t="shared" si="16"/>
        <v>22050.380086073543</v>
      </c>
      <c r="AK20" s="6">
        <f t="shared" si="16"/>
        <v>22270.88388693428</v>
      </c>
      <c r="AL20" s="6">
        <f t="shared" si="16"/>
        <v>22493.592725803628</v>
      </c>
      <c r="AM20" s="6">
        <f t="shared" si="16"/>
        <v>22718.528653061665</v>
      </c>
      <c r="AN20" s="6">
        <f t="shared" si="16"/>
        <v>22945.713939592279</v>
      </c>
    </row>
    <row r="21" spans="2:40" x14ac:dyDescent="0.3">
      <c r="B21" s="1" t="s">
        <v>16</v>
      </c>
      <c r="C21" s="6">
        <v>1265</v>
      </c>
      <c r="D21" s="6">
        <v>1331</v>
      </c>
      <c r="G21" s="6">
        <v>1430</v>
      </c>
      <c r="H21" s="6">
        <v>1493</v>
      </c>
      <c r="I21" s="6">
        <v>1580</v>
      </c>
      <c r="J21" s="6">
        <f t="shared" si="13"/>
        <v>1515</v>
      </c>
      <c r="K21" s="6">
        <v>1548</v>
      </c>
      <c r="L21" s="6">
        <v>1609</v>
      </c>
      <c r="M21" s="6">
        <v>1813</v>
      </c>
      <c r="N21" s="6">
        <f t="shared" si="14"/>
        <v>1639</v>
      </c>
      <c r="O21" s="6">
        <v>1786</v>
      </c>
      <c r="P21" s="6">
        <v>1781</v>
      </c>
      <c r="Q21" s="6">
        <v>2127</v>
      </c>
      <c r="R21" s="6">
        <v>1928</v>
      </c>
      <c r="S21" s="6"/>
      <c r="T21" s="6"/>
      <c r="U21" s="6"/>
      <c r="V21" s="6"/>
      <c r="X21" s="6">
        <v>5070</v>
      </c>
      <c r="Y21" s="6">
        <v>4531</v>
      </c>
      <c r="Z21" s="6">
        <v>5050</v>
      </c>
      <c r="AA21" s="6">
        <v>5392</v>
      </c>
      <c r="AB21" s="6">
        <v>6018</v>
      </c>
      <c r="AC21" s="6">
        <v>6609</v>
      </c>
      <c r="AD21" s="6">
        <f t="shared" si="15"/>
        <v>7622</v>
      </c>
      <c r="AE21" s="6">
        <f t="shared" ref="AE21:AN21" si="17">AE18*0.53</f>
        <v>7381.4902000000002</v>
      </c>
      <c r="AF21" s="6">
        <f t="shared" si="17"/>
        <v>7750.5647100000006</v>
      </c>
      <c r="AG21" s="6">
        <f t="shared" si="17"/>
        <v>8060.5872984000007</v>
      </c>
      <c r="AH21" s="6">
        <f t="shared" si="17"/>
        <v>8302.4049173520016</v>
      </c>
      <c r="AI21" s="6">
        <f t="shared" si="17"/>
        <v>8551.4770648725607</v>
      </c>
      <c r="AJ21" s="6">
        <f t="shared" si="17"/>
        <v>8722.5066061700127</v>
      </c>
      <c r="AK21" s="6">
        <f t="shared" si="17"/>
        <v>8896.9567382934147</v>
      </c>
      <c r="AL21" s="6">
        <f t="shared" si="17"/>
        <v>9074.8958730592822</v>
      </c>
      <c r="AM21" s="6">
        <f t="shared" si="17"/>
        <v>9256.3937905204675</v>
      </c>
      <c r="AN21" s="6">
        <f t="shared" si="17"/>
        <v>9441.5216663308784</v>
      </c>
    </row>
    <row r="22" spans="2:40" x14ac:dyDescent="0.3">
      <c r="B22" s="1" t="s">
        <v>17</v>
      </c>
      <c r="C22" s="6">
        <f t="shared" ref="C22" si="18">C20+C21</f>
        <v>5324</v>
      </c>
      <c r="D22" s="6">
        <f t="shared" ref="D22" si="19">D20+D21</f>
        <v>5660</v>
      </c>
      <c r="G22" s="6">
        <f t="shared" ref="G22" si="20">G20+G21</f>
        <v>5498</v>
      </c>
      <c r="H22" s="6">
        <f t="shared" ref="H22:I22" si="21">H20+H21</f>
        <v>5626</v>
      </c>
      <c r="I22" s="6">
        <f t="shared" si="21"/>
        <v>5670</v>
      </c>
      <c r="J22" s="6">
        <f t="shared" ref="J22:K22" si="22">J20+J21</f>
        <v>6201</v>
      </c>
      <c r="K22" s="6">
        <f t="shared" si="22"/>
        <v>5583</v>
      </c>
      <c r="L22" s="6">
        <f t="shared" ref="L22:M22" si="23">L20+L21</f>
        <v>5856</v>
      </c>
      <c r="M22" s="6">
        <f t="shared" si="23"/>
        <v>5979</v>
      </c>
      <c r="N22" s="6">
        <f t="shared" ref="N22" si="24">N20+N21</f>
        <v>6418</v>
      </c>
      <c r="O22" s="6">
        <f t="shared" ref="O22:P22" si="25">O20+O21</f>
        <v>6037</v>
      </c>
      <c r="P22" s="6">
        <f t="shared" si="25"/>
        <v>6329</v>
      </c>
      <c r="Q22" s="6">
        <f t="shared" ref="Q22:R22" si="26">Q20+Q21</f>
        <v>6861</v>
      </c>
      <c r="R22" s="6">
        <f t="shared" si="26"/>
        <v>6288</v>
      </c>
      <c r="S22" s="6"/>
      <c r="T22" s="6"/>
      <c r="U22" s="6"/>
      <c r="V22" s="6"/>
      <c r="X22" s="6">
        <f t="shared" ref="X22:AC22" si="27">X20+X21</f>
        <v>24339</v>
      </c>
      <c r="Y22" s="6">
        <f t="shared" si="27"/>
        <v>22169</v>
      </c>
      <c r="Z22" s="6">
        <f t="shared" si="27"/>
        <v>23394</v>
      </c>
      <c r="AA22" s="6">
        <f t="shared" si="27"/>
        <v>22347</v>
      </c>
      <c r="AB22" s="6">
        <f t="shared" si="27"/>
        <v>22995</v>
      </c>
      <c r="AC22" s="6">
        <f t="shared" si="27"/>
        <v>23836</v>
      </c>
      <c r="AD22" s="6">
        <f t="shared" ref="AD22:AN22" si="28">AD20+AD21</f>
        <v>25515</v>
      </c>
      <c r="AE22" s="6">
        <f t="shared" si="28"/>
        <v>26411.309800000003</v>
      </c>
      <c r="AF22" s="6">
        <f t="shared" si="28"/>
        <v>27731.875290000004</v>
      </c>
      <c r="AG22" s="6">
        <f t="shared" si="28"/>
        <v>28841.150301600006</v>
      </c>
      <c r="AH22" s="6">
        <f t="shared" si="28"/>
        <v>29706.384810648007</v>
      </c>
      <c r="AI22" s="6">
        <f t="shared" si="28"/>
        <v>30383.536556034487</v>
      </c>
      <c r="AJ22" s="6">
        <f t="shared" si="28"/>
        <v>30772.886692243555</v>
      </c>
      <c r="AK22" s="6">
        <f t="shared" si="28"/>
        <v>31167.840625227695</v>
      </c>
      <c r="AL22" s="6">
        <f t="shared" si="28"/>
        <v>31568.48859886291</v>
      </c>
      <c r="AM22" s="6">
        <f t="shared" si="28"/>
        <v>31974.922443582131</v>
      </c>
      <c r="AN22" s="6">
        <f t="shared" si="28"/>
        <v>32387.235605923157</v>
      </c>
    </row>
    <row r="23" spans="2:40" s="2" customFormat="1" x14ac:dyDescent="0.3">
      <c r="B23" s="2" t="s">
        <v>18</v>
      </c>
      <c r="C23" s="9">
        <f t="shared" ref="C23" si="29">C19-C22</f>
        <v>3052</v>
      </c>
      <c r="D23" s="9">
        <f t="shared" ref="D23" si="30">D19-D22</f>
        <v>3293</v>
      </c>
      <c r="G23" s="9">
        <f t="shared" ref="G23" si="31">G19-G22</f>
        <v>3366</v>
      </c>
      <c r="H23" s="9">
        <f t="shared" ref="H23:I23" si="32">H19-H22</f>
        <v>3520</v>
      </c>
      <c r="I23" s="9">
        <f t="shared" si="32"/>
        <v>3542</v>
      </c>
      <c r="J23" s="9">
        <f t="shared" ref="J23:K23" si="33">J19-J22</f>
        <v>3239</v>
      </c>
      <c r="K23" s="9">
        <f t="shared" si="33"/>
        <v>3522</v>
      </c>
      <c r="L23" s="9">
        <f t="shared" ref="L23:M23" si="34">L19-L22</f>
        <v>3721</v>
      </c>
      <c r="M23" s="9">
        <f t="shared" si="34"/>
        <v>3749</v>
      </c>
      <c r="N23" s="9">
        <f t="shared" ref="N23" si="35">N19-N22</f>
        <v>3670</v>
      </c>
      <c r="O23" s="9">
        <f t="shared" ref="O23:P23" si="36">O19-O22</f>
        <v>3785</v>
      </c>
      <c r="P23" s="9">
        <f t="shared" si="36"/>
        <v>4023</v>
      </c>
      <c r="Q23" s="9">
        <f t="shared" ref="Q23:R23" si="37">Q19-Q22</f>
        <v>3547</v>
      </c>
      <c r="R23" s="9">
        <f t="shared" si="37"/>
        <v>3470</v>
      </c>
      <c r="S23" s="9"/>
      <c r="T23" s="9"/>
      <c r="U23" s="9"/>
      <c r="V23" s="9"/>
      <c r="X23" s="9">
        <f t="shared" ref="X23:AC23" si="38">X19-X22</f>
        <v>12370</v>
      </c>
      <c r="Y23" s="9">
        <f t="shared" si="38"/>
        <v>10468</v>
      </c>
      <c r="Z23" s="9">
        <f t="shared" si="38"/>
        <v>10998</v>
      </c>
      <c r="AA23" s="9">
        <f t="shared" si="38"/>
        <v>13119</v>
      </c>
      <c r="AB23" s="9">
        <f t="shared" si="38"/>
        <v>13667</v>
      </c>
      <c r="AC23" s="9">
        <f t="shared" si="38"/>
        <v>14662</v>
      </c>
      <c r="AD23" s="9">
        <f t="shared" ref="AD23:AN23" si="39">AD19-AD22</f>
        <v>14825</v>
      </c>
      <c r="AE23" s="9">
        <f t="shared" si="39"/>
        <v>16349.090199999999</v>
      </c>
      <c r="AF23" s="9">
        <f t="shared" si="39"/>
        <v>17166.544710000002</v>
      </c>
      <c r="AG23" s="9">
        <f t="shared" si="39"/>
        <v>17853.206498400003</v>
      </c>
      <c r="AH23" s="9">
        <f t="shared" si="39"/>
        <v>18388.802693352001</v>
      </c>
      <c r="AI23" s="9">
        <f t="shared" si="39"/>
        <v>18830.203847429519</v>
      </c>
      <c r="AJ23" s="9">
        <f t="shared" si="39"/>
        <v>19094.339739120609</v>
      </c>
      <c r="AK23" s="9">
        <f t="shared" si="39"/>
        <v>19362.633666792954</v>
      </c>
      <c r="AL23" s="9">
        <f t="shared" si="39"/>
        <v>19635.157544347632</v>
      </c>
      <c r="AM23" s="9">
        <f t="shared" si="39"/>
        <v>19911.984611495594</v>
      </c>
      <c r="AN23" s="9">
        <f t="shared" si="39"/>
        <v>20193.189459149133</v>
      </c>
    </row>
    <row r="24" spans="2:40" x14ac:dyDescent="0.3">
      <c r="B24" s="1" t="s">
        <v>19</v>
      </c>
      <c r="C24" s="6">
        <v>350</v>
      </c>
      <c r="D24" s="6">
        <v>386</v>
      </c>
      <c r="G24" s="6">
        <v>357</v>
      </c>
      <c r="H24" s="6">
        <v>375</v>
      </c>
      <c r="I24" s="6">
        <v>364</v>
      </c>
      <c r="J24" s="6">
        <f t="shared" ref="J24:J26" si="40">AB24-I24-H24-G24</f>
        <v>360</v>
      </c>
      <c r="K24" s="6">
        <v>360</v>
      </c>
      <c r="L24" s="6">
        <v>382</v>
      </c>
      <c r="M24" s="6">
        <v>368</v>
      </c>
      <c r="N24" s="6">
        <f t="shared" ref="N24:N26" si="41">AC24-M24-L24-K24</f>
        <v>426</v>
      </c>
      <c r="O24" s="6">
        <v>439</v>
      </c>
      <c r="P24" s="6">
        <v>481</v>
      </c>
      <c r="Q24" s="6">
        <v>497</v>
      </c>
      <c r="R24" s="6">
        <v>465</v>
      </c>
      <c r="S24" s="6"/>
      <c r="T24" s="6"/>
      <c r="U24" s="6"/>
      <c r="V24" s="6"/>
      <c r="X24" s="6"/>
      <c r="Y24" s="6"/>
      <c r="Z24" s="6"/>
      <c r="AA24" s="6">
        <v>1478</v>
      </c>
      <c r="AB24" s="6">
        <v>1456</v>
      </c>
      <c r="AC24" s="6">
        <v>1536</v>
      </c>
      <c r="AD24" s="6">
        <f t="shared" ref="AD24:AD26" si="42">SUM(O24:R24)</f>
        <v>1882</v>
      </c>
      <c r="AE24" s="6">
        <f>AD24*1.12</f>
        <v>2107.84</v>
      </c>
      <c r="AF24" s="6">
        <f>AE24*1.07</f>
        <v>2255.3888000000002</v>
      </c>
      <c r="AG24" s="6">
        <f>AF24*1.03</f>
        <v>2323.0504640000004</v>
      </c>
      <c r="AH24" s="6">
        <f t="shared" ref="AH24:AN24" si="43">AG24*1.02</f>
        <v>2369.5114732800002</v>
      </c>
      <c r="AI24" s="6">
        <f t="shared" si="43"/>
        <v>2416.9017027456002</v>
      </c>
      <c r="AJ24" s="6">
        <f t="shared" si="43"/>
        <v>2465.2397368005122</v>
      </c>
      <c r="AK24" s="6">
        <f t="shared" si="43"/>
        <v>2514.5445315365223</v>
      </c>
      <c r="AL24" s="6">
        <f t="shared" si="43"/>
        <v>2564.835422167253</v>
      </c>
      <c r="AM24" s="6">
        <f t="shared" si="43"/>
        <v>2616.1321306105983</v>
      </c>
      <c r="AN24" s="6">
        <f t="shared" si="43"/>
        <v>2668.4547732228102</v>
      </c>
    </row>
    <row r="25" spans="2:40" x14ac:dyDescent="0.3">
      <c r="B25" s="1" t="s">
        <v>20</v>
      </c>
      <c r="C25" s="6">
        <v>1431</v>
      </c>
      <c r="D25" s="6">
        <v>1306</v>
      </c>
      <c r="G25" s="6">
        <v>1317</v>
      </c>
      <c r="H25" s="6">
        <v>1262</v>
      </c>
      <c r="I25" s="6">
        <v>1252</v>
      </c>
      <c r="J25" s="6">
        <f t="shared" si="40"/>
        <v>1296</v>
      </c>
      <c r="K25" s="6">
        <v>1302</v>
      </c>
      <c r="L25" s="6">
        <v>1361</v>
      </c>
      <c r="M25" s="6">
        <v>1398</v>
      </c>
      <c r="N25" s="6">
        <f t="shared" si="41"/>
        <v>1405</v>
      </c>
      <c r="O25" s="6">
        <v>1361</v>
      </c>
      <c r="P25" s="6">
        <v>1428</v>
      </c>
      <c r="Q25" s="6">
        <v>1296</v>
      </c>
      <c r="R25" s="6">
        <v>1501</v>
      </c>
      <c r="S25" s="6"/>
      <c r="T25" s="6"/>
      <c r="U25" s="6"/>
      <c r="V25" s="6"/>
      <c r="X25" s="6">
        <v>5519</v>
      </c>
      <c r="Y25" s="6">
        <v>4772</v>
      </c>
      <c r="Z25" s="6">
        <v>4798</v>
      </c>
      <c r="AA25" s="6">
        <v>5214</v>
      </c>
      <c r="AB25" s="6">
        <v>5127</v>
      </c>
      <c r="AC25" s="6">
        <v>5466</v>
      </c>
      <c r="AD25" s="6">
        <f t="shared" si="42"/>
        <v>5586</v>
      </c>
      <c r="AE25" s="6">
        <f>AD25*1.03</f>
        <v>5753.58</v>
      </c>
      <c r="AF25" s="6">
        <f>AE25*1.02</f>
        <v>5868.6516000000001</v>
      </c>
      <c r="AG25" s="6">
        <f t="shared" ref="AG25:AN25" si="44">AF25*1.01</f>
        <v>5927.3381159999999</v>
      </c>
      <c r="AH25" s="6">
        <f t="shared" si="44"/>
        <v>5986.61149716</v>
      </c>
      <c r="AI25" s="6">
        <f t="shared" si="44"/>
        <v>6046.4776121315999</v>
      </c>
      <c r="AJ25" s="6">
        <f t="shared" si="44"/>
        <v>6106.9423882529163</v>
      </c>
      <c r="AK25" s="6">
        <f t="shared" si="44"/>
        <v>6168.0118121354453</v>
      </c>
      <c r="AL25" s="6">
        <f t="shared" si="44"/>
        <v>6229.6919302567994</v>
      </c>
      <c r="AM25" s="6">
        <f t="shared" si="44"/>
        <v>6291.9888495593677</v>
      </c>
      <c r="AN25" s="6">
        <f t="shared" si="44"/>
        <v>6354.9087380549618</v>
      </c>
    </row>
    <row r="26" spans="2:40" x14ac:dyDescent="0.3">
      <c r="B26" s="1" t="s">
        <v>21</v>
      </c>
      <c r="C26" s="6">
        <v>0</v>
      </c>
      <c r="D26" s="6">
        <v>0</v>
      </c>
      <c r="G26" s="6">
        <v>0</v>
      </c>
      <c r="H26" s="6">
        <v>0</v>
      </c>
      <c r="I26" s="6">
        <v>0</v>
      </c>
      <c r="J26" s="6">
        <f t="shared" si="40"/>
        <v>0</v>
      </c>
      <c r="K26" s="6">
        <v>0</v>
      </c>
      <c r="L26" s="6">
        <v>0</v>
      </c>
      <c r="M26" s="6">
        <v>125</v>
      </c>
      <c r="N26" s="6">
        <f t="shared" si="41"/>
        <v>94</v>
      </c>
      <c r="O26" s="6">
        <v>15</v>
      </c>
      <c r="P26" s="6">
        <v>0</v>
      </c>
      <c r="Q26" s="6">
        <v>0</v>
      </c>
      <c r="R26" s="6">
        <f>288+220</f>
        <v>508</v>
      </c>
      <c r="S26" s="6"/>
      <c r="T26" s="6"/>
      <c r="U26" s="6"/>
      <c r="V26" s="6"/>
      <c r="X26" s="6">
        <v>0</v>
      </c>
      <c r="Y26" s="6">
        <v>0</v>
      </c>
      <c r="Z26" s="6">
        <v>0</v>
      </c>
      <c r="AA26" s="6">
        <v>0</v>
      </c>
      <c r="AB26" s="6">
        <v>0</v>
      </c>
      <c r="AC26" s="6">
        <v>219</v>
      </c>
      <c r="AD26" s="6">
        <f t="shared" si="42"/>
        <v>523</v>
      </c>
      <c r="AE26" s="6">
        <v>0</v>
      </c>
      <c r="AF26" s="6">
        <v>0</v>
      </c>
      <c r="AG26" s="6">
        <v>0</v>
      </c>
      <c r="AH26" s="6">
        <v>0</v>
      </c>
      <c r="AI26" s="6">
        <v>0</v>
      </c>
      <c r="AJ26" s="6">
        <v>0</v>
      </c>
      <c r="AK26" s="6">
        <v>0</v>
      </c>
      <c r="AL26" s="6">
        <v>0</v>
      </c>
      <c r="AM26" s="6">
        <v>0</v>
      </c>
      <c r="AN26" s="6">
        <v>0</v>
      </c>
    </row>
    <row r="27" spans="2:40" x14ac:dyDescent="0.3">
      <c r="B27" s="1" t="s">
        <v>23</v>
      </c>
      <c r="C27" s="6">
        <f t="shared" ref="C27" si="45">SUM(C24:C26)</f>
        <v>1781</v>
      </c>
      <c r="D27" s="6">
        <f t="shared" ref="D27" si="46">SUM(D24:D26)</f>
        <v>1692</v>
      </c>
      <c r="G27" s="6">
        <f t="shared" ref="G27" si="47">SUM(G24:G26)</f>
        <v>1674</v>
      </c>
      <c r="H27" s="6">
        <f t="shared" ref="H27:I27" si="48">SUM(H24:H26)</f>
        <v>1637</v>
      </c>
      <c r="I27" s="6">
        <f t="shared" si="48"/>
        <v>1616</v>
      </c>
      <c r="J27" s="6">
        <f t="shared" ref="J27:K27" si="49">SUM(J24:J26)</f>
        <v>1656</v>
      </c>
      <c r="K27" s="6">
        <f t="shared" si="49"/>
        <v>1662</v>
      </c>
      <c r="L27" s="6">
        <f t="shared" ref="L27" si="50">SUM(L24:L26)</f>
        <v>1743</v>
      </c>
      <c r="M27" s="6">
        <f t="shared" ref="M27:N27" si="51">SUM(M24:M26)</f>
        <v>1891</v>
      </c>
      <c r="N27" s="6">
        <f t="shared" si="51"/>
        <v>1925</v>
      </c>
      <c r="O27" s="6">
        <f t="shared" ref="O27:P27" si="52">SUM(O24:O26)</f>
        <v>1815</v>
      </c>
      <c r="P27" s="6">
        <f t="shared" si="52"/>
        <v>1909</v>
      </c>
      <c r="Q27" s="6">
        <f t="shared" ref="Q27:R27" si="53">SUM(Q24:Q26)</f>
        <v>1793</v>
      </c>
      <c r="R27" s="6">
        <f t="shared" si="53"/>
        <v>2474</v>
      </c>
      <c r="S27" s="6"/>
      <c r="T27" s="6"/>
      <c r="U27" s="6"/>
      <c r="V27" s="6"/>
      <c r="X27" s="6">
        <f t="shared" ref="X27:AC27" si="54">SUM(X24:X26)</f>
        <v>5519</v>
      </c>
      <c r="Y27" s="6">
        <f t="shared" si="54"/>
        <v>4772</v>
      </c>
      <c r="Z27" s="6">
        <f t="shared" si="54"/>
        <v>4798</v>
      </c>
      <c r="AA27" s="6">
        <f t="shared" si="54"/>
        <v>6692</v>
      </c>
      <c r="AB27" s="6">
        <f t="shared" si="54"/>
        <v>6583</v>
      </c>
      <c r="AC27" s="6">
        <f t="shared" si="54"/>
        <v>7221</v>
      </c>
      <c r="AD27" s="6">
        <f t="shared" ref="AD27:AN27" si="55">SUM(AD24:AD26)</f>
        <v>7991</v>
      </c>
      <c r="AE27" s="6">
        <f t="shared" si="55"/>
        <v>7861.42</v>
      </c>
      <c r="AF27" s="6">
        <f t="shared" si="55"/>
        <v>8124.0403999999999</v>
      </c>
      <c r="AG27" s="6">
        <f t="shared" si="55"/>
        <v>8250.3885800000007</v>
      </c>
      <c r="AH27" s="6">
        <f t="shared" si="55"/>
        <v>8356.1229704399993</v>
      </c>
      <c r="AI27" s="6">
        <f t="shared" si="55"/>
        <v>8463.3793148772002</v>
      </c>
      <c r="AJ27" s="6">
        <f t="shared" si="55"/>
        <v>8572.1821250534285</v>
      </c>
      <c r="AK27" s="6">
        <f t="shared" si="55"/>
        <v>8682.5563436719676</v>
      </c>
      <c r="AL27" s="6">
        <f t="shared" si="55"/>
        <v>8794.5273524240529</v>
      </c>
      <c r="AM27" s="6">
        <f t="shared" si="55"/>
        <v>8908.1209801699661</v>
      </c>
      <c r="AN27" s="6">
        <f t="shared" si="55"/>
        <v>9023.363511277772</v>
      </c>
    </row>
    <row r="28" spans="2:40" s="2" customFormat="1" x14ac:dyDescent="0.3">
      <c r="B28" s="2" t="s">
        <v>24</v>
      </c>
      <c r="C28" s="9">
        <f t="shared" ref="C28" si="56">C23-C27</f>
        <v>1271</v>
      </c>
      <c r="D28" s="9">
        <f t="shared" ref="D28" si="57">D23-D27</f>
        <v>1601</v>
      </c>
      <c r="G28" s="9">
        <f t="shared" ref="G28" si="58">G23-G27</f>
        <v>1692</v>
      </c>
      <c r="H28" s="9">
        <f t="shared" ref="H28:I28" si="59">H23-H27</f>
        <v>1883</v>
      </c>
      <c r="I28" s="9">
        <f t="shared" si="59"/>
        <v>1926</v>
      </c>
      <c r="J28" s="9">
        <f t="shared" ref="J28:K28" si="60">J23-J27</f>
        <v>1583</v>
      </c>
      <c r="K28" s="9">
        <f t="shared" si="60"/>
        <v>1860</v>
      </c>
      <c r="L28" s="9">
        <f t="shared" ref="L28:M28" si="61">L23-L27</f>
        <v>1978</v>
      </c>
      <c r="M28" s="9">
        <f t="shared" si="61"/>
        <v>1858</v>
      </c>
      <c r="N28" s="9">
        <f t="shared" ref="N28" si="62">N23-N27</f>
        <v>1745</v>
      </c>
      <c r="O28" s="9">
        <f t="shared" ref="O28:P28" si="63">O23-O27</f>
        <v>1970</v>
      </c>
      <c r="P28" s="9">
        <f t="shared" si="63"/>
        <v>2114</v>
      </c>
      <c r="Q28" s="9">
        <f t="shared" ref="Q28:R28" si="64">Q23-Q27</f>
        <v>1754</v>
      </c>
      <c r="R28" s="9">
        <f t="shared" si="64"/>
        <v>996</v>
      </c>
      <c r="S28" s="9"/>
      <c r="T28" s="9"/>
      <c r="U28" s="9"/>
      <c r="V28" s="9"/>
      <c r="X28" s="9">
        <f t="shared" ref="X28:AC28" si="65">X23-X27</f>
        <v>6851</v>
      </c>
      <c r="Y28" s="9">
        <f t="shared" si="65"/>
        <v>5696</v>
      </c>
      <c r="Z28" s="9">
        <f t="shared" si="65"/>
        <v>6200</v>
      </c>
      <c r="AA28" s="9">
        <f t="shared" si="65"/>
        <v>6427</v>
      </c>
      <c r="AB28" s="9">
        <f t="shared" si="65"/>
        <v>7084</v>
      </c>
      <c r="AC28" s="9">
        <f t="shared" si="65"/>
        <v>7441</v>
      </c>
      <c r="AD28" s="9">
        <f t="shared" ref="AD28:AN28" si="66">AD23-AD27</f>
        <v>6834</v>
      </c>
      <c r="AE28" s="9">
        <f t="shared" si="66"/>
        <v>8487.6701999999987</v>
      </c>
      <c r="AF28" s="9">
        <f t="shared" si="66"/>
        <v>9042.5043100000021</v>
      </c>
      <c r="AG28" s="9">
        <f t="shared" si="66"/>
        <v>9602.8179184000019</v>
      </c>
      <c r="AH28" s="9">
        <f t="shared" si="66"/>
        <v>10032.679722912002</v>
      </c>
      <c r="AI28" s="9">
        <f t="shared" si="66"/>
        <v>10366.824532552318</v>
      </c>
      <c r="AJ28" s="9">
        <f t="shared" si="66"/>
        <v>10522.15761406718</v>
      </c>
      <c r="AK28" s="9">
        <f t="shared" si="66"/>
        <v>10680.077323120986</v>
      </c>
      <c r="AL28" s="9">
        <f t="shared" si="66"/>
        <v>10840.630191923579</v>
      </c>
      <c r="AM28" s="9">
        <f t="shared" si="66"/>
        <v>11003.863631325628</v>
      </c>
      <c r="AN28" s="9">
        <f t="shared" si="66"/>
        <v>11169.825947871361</v>
      </c>
    </row>
    <row r="29" spans="2:40" x14ac:dyDescent="0.3">
      <c r="B29" s="1" t="s">
        <v>22</v>
      </c>
      <c r="C29" s="6">
        <v>-319</v>
      </c>
      <c r="D29" s="6">
        <v>-190</v>
      </c>
      <c r="G29" s="6">
        <v>-260</v>
      </c>
      <c r="H29" s="6">
        <v>-208</v>
      </c>
      <c r="I29" s="6">
        <v>-247</v>
      </c>
      <c r="J29" s="6">
        <f t="shared" ref="J29:J30" si="67">AB29-I29-H29-G29</f>
        <v>-125</v>
      </c>
      <c r="K29" s="6">
        <v>-231</v>
      </c>
      <c r="L29" s="6">
        <v>-246</v>
      </c>
      <c r="M29" s="6">
        <v>-263</v>
      </c>
      <c r="N29" s="6">
        <f t="shared" ref="N29:N30" si="68">AC29-M29-L29-K29</f>
        <v>-90</v>
      </c>
      <c r="O29" s="6">
        <v>-200</v>
      </c>
      <c r="P29" s="6">
        <v>-87</v>
      </c>
      <c r="Q29" s="6">
        <v>-822</v>
      </c>
      <c r="R29" s="6">
        <v>0</v>
      </c>
      <c r="S29" s="6"/>
      <c r="T29" s="6"/>
      <c r="U29" s="6"/>
      <c r="V29" s="6"/>
      <c r="X29" s="6">
        <v>-1065</v>
      </c>
      <c r="Y29" s="6">
        <v>-675</v>
      </c>
      <c r="Z29" s="6">
        <v>-1378</v>
      </c>
      <c r="AA29" s="6">
        <v>-366</v>
      </c>
      <c r="AB29" s="6">
        <v>-840</v>
      </c>
      <c r="AC29" s="6">
        <v>-830</v>
      </c>
      <c r="AD29" s="6">
        <f t="shared" ref="AD29:AD30" si="69">SUM(O29:R29)</f>
        <v>-1109</v>
      </c>
      <c r="AE29" s="6">
        <f t="shared" ref="AE29:AN29" si="70">AD29*1.01</f>
        <v>-1120.0899999999999</v>
      </c>
      <c r="AF29" s="6">
        <f t="shared" si="70"/>
        <v>-1131.2909</v>
      </c>
      <c r="AG29" s="6">
        <f t="shared" si="70"/>
        <v>-1142.603809</v>
      </c>
      <c r="AH29" s="6">
        <f t="shared" si="70"/>
        <v>-1154.02984709</v>
      </c>
      <c r="AI29" s="6">
        <f t="shared" si="70"/>
        <v>-1165.5701455609001</v>
      </c>
      <c r="AJ29" s="6">
        <f t="shared" si="70"/>
        <v>-1177.2258470165091</v>
      </c>
      <c r="AK29" s="6">
        <f t="shared" si="70"/>
        <v>-1188.9981054866741</v>
      </c>
      <c r="AL29" s="6">
        <f t="shared" si="70"/>
        <v>-1200.8880865415408</v>
      </c>
      <c r="AM29" s="6">
        <f t="shared" si="70"/>
        <v>-1212.8969674069563</v>
      </c>
      <c r="AN29" s="6">
        <f t="shared" si="70"/>
        <v>-1225.0259370810259</v>
      </c>
    </row>
    <row r="30" spans="2:40" x14ac:dyDescent="0.3">
      <c r="B30" s="1" t="s">
        <v>26</v>
      </c>
      <c r="C30" s="6">
        <v>85</v>
      </c>
      <c r="D30" s="6">
        <v>87</v>
      </c>
      <c r="G30" s="6">
        <v>170</v>
      </c>
      <c r="H30" s="6">
        <v>187</v>
      </c>
      <c r="I30" s="6">
        <v>206</v>
      </c>
      <c r="J30" s="6">
        <f t="shared" si="67"/>
        <v>202</v>
      </c>
      <c r="K30" s="6">
        <v>220</v>
      </c>
      <c r="L30" s="6">
        <v>250</v>
      </c>
      <c r="M30" s="6">
        <v>297</v>
      </c>
      <c r="N30" s="6">
        <f t="shared" si="68"/>
        <v>291</v>
      </c>
      <c r="O30" s="6">
        <v>286</v>
      </c>
      <c r="P30" s="6">
        <v>330</v>
      </c>
      <c r="Q30" s="6">
        <v>354</v>
      </c>
      <c r="R30" s="6">
        <v>376</v>
      </c>
      <c r="S30" s="6"/>
      <c r="T30" s="6"/>
      <c r="U30" s="6"/>
      <c r="V30" s="6"/>
      <c r="X30" s="6">
        <v>357</v>
      </c>
      <c r="Y30" s="6">
        <v>359</v>
      </c>
      <c r="Z30" s="6">
        <v>343</v>
      </c>
      <c r="AA30" s="6">
        <v>414</v>
      </c>
      <c r="AB30" s="6">
        <v>765</v>
      </c>
      <c r="AC30" s="6">
        <v>1058</v>
      </c>
      <c r="AD30" s="6">
        <f t="shared" si="69"/>
        <v>1346</v>
      </c>
      <c r="AE30" s="6">
        <f t="shared" ref="AE30:AN30" si="71">AD30*1.02</f>
        <v>1372.92</v>
      </c>
      <c r="AF30" s="6">
        <f t="shared" si="71"/>
        <v>1400.3784000000001</v>
      </c>
      <c r="AG30" s="6">
        <f t="shared" si="71"/>
        <v>1428.385968</v>
      </c>
      <c r="AH30" s="6">
        <f t="shared" si="71"/>
        <v>1456.95368736</v>
      </c>
      <c r="AI30" s="6">
        <f t="shared" si="71"/>
        <v>1486.0927611072</v>
      </c>
      <c r="AJ30" s="6">
        <f t="shared" si="71"/>
        <v>1515.8146163293441</v>
      </c>
      <c r="AK30" s="6">
        <f t="shared" si="71"/>
        <v>1546.1309086559311</v>
      </c>
      <c r="AL30" s="6">
        <f t="shared" si="71"/>
        <v>1577.0535268290498</v>
      </c>
      <c r="AM30" s="6">
        <f t="shared" si="71"/>
        <v>1608.5945973656308</v>
      </c>
      <c r="AN30" s="6">
        <f t="shared" si="71"/>
        <v>1640.7664893129433</v>
      </c>
    </row>
    <row r="31" spans="2:40" x14ac:dyDescent="0.3">
      <c r="B31" s="1" t="s">
        <v>25</v>
      </c>
      <c r="C31" s="6">
        <f t="shared" ref="C31" si="72">SUM(C29:C30)</f>
        <v>-234</v>
      </c>
      <c r="D31" s="6">
        <f t="shared" ref="D31" si="73">SUM(D29:D30)</f>
        <v>-103</v>
      </c>
      <c r="G31" s="6">
        <f t="shared" ref="G31" si="74">SUM(G29:G30)</f>
        <v>-90</v>
      </c>
      <c r="H31" s="6">
        <f t="shared" ref="H31:I31" si="75">SUM(H29:H30)</f>
        <v>-21</v>
      </c>
      <c r="I31" s="6">
        <f t="shared" si="75"/>
        <v>-41</v>
      </c>
      <c r="J31" s="6">
        <f t="shared" ref="J31:K31" si="76">SUM(J29:J30)</f>
        <v>77</v>
      </c>
      <c r="K31" s="6">
        <f t="shared" si="76"/>
        <v>-11</v>
      </c>
      <c r="L31" s="6">
        <f t="shared" ref="L31" si="77">SUM(L29:L30)</f>
        <v>4</v>
      </c>
      <c r="M31" s="6">
        <f t="shared" ref="M31:N31" si="78">SUM(M29:M30)</f>
        <v>34</v>
      </c>
      <c r="N31" s="6">
        <f t="shared" si="78"/>
        <v>201</v>
      </c>
      <c r="O31" s="6">
        <f t="shared" ref="O31:P31" si="79">SUM(O29:O30)</f>
        <v>86</v>
      </c>
      <c r="P31" s="6">
        <f t="shared" si="79"/>
        <v>243</v>
      </c>
      <c r="Q31" s="6">
        <f t="shared" ref="Q31:R31" si="80">SUM(Q29:Q30)</f>
        <v>-468</v>
      </c>
      <c r="R31" s="6">
        <f t="shared" si="80"/>
        <v>376</v>
      </c>
      <c r="S31" s="6"/>
      <c r="T31" s="6"/>
      <c r="U31" s="6"/>
      <c r="V31" s="6"/>
      <c r="X31" s="6">
        <f t="shared" ref="X31:AC31" si="81">SUM(X29:X30)</f>
        <v>-708</v>
      </c>
      <c r="Y31" s="6">
        <f t="shared" si="81"/>
        <v>-316</v>
      </c>
      <c r="Z31" s="6">
        <f t="shared" si="81"/>
        <v>-1035</v>
      </c>
      <c r="AA31" s="6">
        <f t="shared" si="81"/>
        <v>48</v>
      </c>
      <c r="AB31" s="6">
        <f t="shared" si="81"/>
        <v>-75</v>
      </c>
      <c r="AC31" s="6">
        <f t="shared" si="81"/>
        <v>228</v>
      </c>
      <c r="AD31" s="6">
        <f t="shared" ref="AD31:AN31" si="82">SUM(AD29:AD30)</f>
        <v>237</v>
      </c>
      <c r="AE31" s="6">
        <f t="shared" si="82"/>
        <v>252.83000000000015</v>
      </c>
      <c r="AF31" s="6">
        <f t="shared" si="82"/>
        <v>269.08750000000009</v>
      </c>
      <c r="AG31" s="6">
        <f t="shared" si="82"/>
        <v>285.78215900000009</v>
      </c>
      <c r="AH31" s="6">
        <f t="shared" si="82"/>
        <v>302.92384027000003</v>
      </c>
      <c r="AI31" s="6">
        <f t="shared" si="82"/>
        <v>320.5226155462999</v>
      </c>
      <c r="AJ31" s="6">
        <f t="shared" si="82"/>
        <v>338.58876931283498</v>
      </c>
      <c r="AK31" s="6">
        <f t="shared" si="82"/>
        <v>357.13280316925693</v>
      </c>
      <c r="AL31" s="6">
        <f t="shared" si="82"/>
        <v>376.165440287509</v>
      </c>
      <c r="AM31" s="6">
        <f t="shared" si="82"/>
        <v>395.6976299586745</v>
      </c>
      <c r="AN31" s="6">
        <f t="shared" si="82"/>
        <v>415.74055223191749</v>
      </c>
    </row>
    <row r="32" spans="2:40" s="2" customFormat="1" x14ac:dyDescent="0.3">
      <c r="B32" s="2" t="s">
        <v>27</v>
      </c>
      <c r="C32" s="9">
        <f t="shared" ref="C32" si="83">C28-C31</f>
        <v>1505</v>
      </c>
      <c r="D32" s="9">
        <f t="shared" ref="D32" si="84">D28-D31</f>
        <v>1704</v>
      </c>
      <c r="G32" s="9">
        <f t="shared" ref="G32" si="85">G28-G31</f>
        <v>1782</v>
      </c>
      <c r="H32" s="9">
        <f t="shared" ref="H32:I32" si="86">H28-H31</f>
        <v>1904</v>
      </c>
      <c r="I32" s="9">
        <f t="shared" si="86"/>
        <v>1967</v>
      </c>
      <c r="J32" s="9">
        <f t="shared" ref="J32:K32" si="87">J28-J31</f>
        <v>1506</v>
      </c>
      <c r="K32" s="9">
        <f t="shared" si="87"/>
        <v>1871</v>
      </c>
      <c r="L32" s="9">
        <f t="shared" ref="L32:M32" si="88">L28-L31</f>
        <v>1974</v>
      </c>
      <c r="M32" s="9">
        <f t="shared" si="88"/>
        <v>1824</v>
      </c>
      <c r="N32" s="9">
        <f t="shared" ref="N32" si="89">N28-N31</f>
        <v>1544</v>
      </c>
      <c r="O32" s="9">
        <f t="shared" ref="O32:P32" si="90">O28-O31</f>
        <v>1884</v>
      </c>
      <c r="P32" s="9">
        <f t="shared" si="90"/>
        <v>1871</v>
      </c>
      <c r="Q32" s="9">
        <f t="shared" ref="Q32:R32" si="91">Q28-Q31</f>
        <v>2222</v>
      </c>
      <c r="R32" s="9">
        <f t="shared" si="91"/>
        <v>620</v>
      </c>
      <c r="S32" s="9"/>
      <c r="T32" s="9"/>
      <c r="U32" s="9"/>
      <c r="V32" s="9"/>
      <c r="X32" s="9">
        <f t="shared" ref="X32:AC32" si="92">X28-X31</f>
        <v>7559</v>
      </c>
      <c r="Y32" s="9">
        <f t="shared" si="92"/>
        <v>6012</v>
      </c>
      <c r="Z32" s="9">
        <f t="shared" si="92"/>
        <v>7235</v>
      </c>
      <c r="AA32" s="9">
        <f t="shared" si="92"/>
        <v>6379</v>
      </c>
      <c r="AB32" s="9">
        <f t="shared" si="92"/>
        <v>7159</v>
      </c>
      <c r="AC32" s="9">
        <f t="shared" si="92"/>
        <v>7213</v>
      </c>
      <c r="AD32" s="9">
        <f t="shared" ref="AD32:AN32" si="93">AD28-AD31</f>
        <v>6597</v>
      </c>
      <c r="AE32" s="9">
        <f t="shared" si="93"/>
        <v>8234.8401999999987</v>
      </c>
      <c r="AF32" s="9">
        <f t="shared" si="93"/>
        <v>8773.4168100000024</v>
      </c>
      <c r="AG32" s="9">
        <f t="shared" si="93"/>
        <v>9317.0357594000016</v>
      </c>
      <c r="AH32" s="9">
        <f t="shared" si="93"/>
        <v>9729.7558826420027</v>
      </c>
      <c r="AI32" s="9">
        <f t="shared" si="93"/>
        <v>10046.301917006018</v>
      </c>
      <c r="AJ32" s="9">
        <f t="shared" si="93"/>
        <v>10183.568844754345</v>
      </c>
      <c r="AK32" s="9">
        <f t="shared" si="93"/>
        <v>10322.944519951729</v>
      </c>
      <c r="AL32" s="9">
        <f t="shared" si="93"/>
        <v>10464.464751636071</v>
      </c>
      <c r="AM32" s="9">
        <f t="shared" si="93"/>
        <v>10608.166001366953</v>
      </c>
      <c r="AN32" s="9">
        <f t="shared" si="93"/>
        <v>10754.085395639444</v>
      </c>
    </row>
    <row r="33" spans="2:140" x14ac:dyDescent="0.3">
      <c r="B33" s="1" t="s">
        <v>28</v>
      </c>
      <c r="C33" s="6">
        <v>371</v>
      </c>
      <c r="D33" s="6">
        <v>441</v>
      </c>
      <c r="G33" s="6">
        <v>374</v>
      </c>
      <c r="H33" s="6">
        <v>403</v>
      </c>
      <c r="I33" s="6">
        <v>452</v>
      </c>
      <c r="J33" s="6">
        <f t="shared" ref="J33:J34" si="94">AB33-I33-H33-G33</f>
        <v>258</v>
      </c>
      <c r="K33" s="6">
        <v>396</v>
      </c>
      <c r="L33" s="6">
        <v>414</v>
      </c>
      <c r="M33" s="6">
        <v>409</v>
      </c>
      <c r="N33" s="6">
        <f t="shared" ref="N33:N34" si="95">AC33-M33-L33-K33</f>
        <v>254</v>
      </c>
      <c r="O33" s="6">
        <v>417</v>
      </c>
      <c r="P33" s="6">
        <v>302</v>
      </c>
      <c r="Q33" s="6">
        <v>363</v>
      </c>
      <c r="R33" s="6">
        <v>316</v>
      </c>
      <c r="S33" s="6"/>
      <c r="T33" s="6"/>
      <c r="U33" s="6"/>
      <c r="V33" s="6"/>
      <c r="X33" s="6">
        <v>1329</v>
      </c>
      <c r="Y33" s="6">
        <v>1147</v>
      </c>
      <c r="Z33" s="6">
        <v>1625</v>
      </c>
      <c r="AA33" s="6">
        <v>1412</v>
      </c>
      <c r="AB33" s="6">
        <v>1487</v>
      </c>
      <c r="AC33" s="6">
        <v>1473</v>
      </c>
      <c r="AD33" s="6">
        <f t="shared" ref="AD33:AD34" si="96">SUM(O33:R33)</f>
        <v>1398</v>
      </c>
      <c r="AE33" s="6">
        <f t="shared" ref="AE33:AN33" si="97">AE32*0.21</f>
        <v>1729.3164419999996</v>
      </c>
      <c r="AF33" s="6">
        <f t="shared" si="97"/>
        <v>1842.4175301000005</v>
      </c>
      <c r="AG33" s="6">
        <f t="shared" si="97"/>
        <v>1956.5775094740002</v>
      </c>
      <c r="AH33" s="6">
        <f t="shared" si="97"/>
        <v>2043.2487353548204</v>
      </c>
      <c r="AI33" s="6">
        <f t="shared" si="97"/>
        <v>2109.7234025712637</v>
      </c>
      <c r="AJ33" s="6">
        <f t="shared" si="97"/>
        <v>2138.5494573984124</v>
      </c>
      <c r="AK33" s="6">
        <f t="shared" si="97"/>
        <v>2167.8183491898631</v>
      </c>
      <c r="AL33" s="6">
        <f t="shared" si="97"/>
        <v>2197.537597843575</v>
      </c>
      <c r="AM33" s="6">
        <f t="shared" si="97"/>
        <v>2227.7148602870602</v>
      </c>
      <c r="AN33" s="6">
        <f t="shared" si="97"/>
        <v>2258.3579330842831</v>
      </c>
    </row>
    <row r="34" spans="2:140" x14ac:dyDescent="0.3">
      <c r="B34" s="1" t="s">
        <v>29</v>
      </c>
      <c r="C34" s="6">
        <v>0</v>
      </c>
      <c r="D34" s="6">
        <v>2</v>
      </c>
      <c r="G34" s="6">
        <v>14</v>
      </c>
      <c r="H34" s="6">
        <v>14</v>
      </c>
      <c r="I34" s="6">
        <v>1</v>
      </c>
      <c r="J34" s="6">
        <f t="shared" si="94"/>
        <v>-15</v>
      </c>
      <c r="K34" s="6">
        <v>12</v>
      </c>
      <c r="L34" s="6">
        <v>16</v>
      </c>
      <c r="M34" s="6">
        <v>2</v>
      </c>
      <c r="N34" s="6">
        <f t="shared" si="95"/>
        <v>5</v>
      </c>
      <c r="O34" s="6">
        <v>18</v>
      </c>
      <c r="P34" s="6">
        <v>-1</v>
      </c>
      <c r="Q34" s="6">
        <v>34</v>
      </c>
      <c r="R34" s="6">
        <f>17-8</f>
        <v>9</v>
      </c>
      <c r="S34" s="6"/>
      <c r="T34" s="6"/>
      <c r="U34" s="6"/>
      <c r="V34" s="6"/>
      <c r="X34" s="6">
        <v>87</v>
      </c>
      <c r="Y34" s="6">
        <v>86</v>
      </c>
      <c r="Z34" s="6">
        <v>68</v>
      </c>
      <c r="AA34" s="6">
        <v>1</v>
      </c>
      <c r="AB34" s="6">
        <v>14</v>
      </c>
      <c r="AC34" s="6">
        <v>35</v>
      </c>
      <c r="AD34" s="6">
        <f t="shared" si="96"/>
        <v>60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6">
        <v>0</v>
      </c>
      <c r="AK34" s="6">
        <v>0</v>
      </c>
      <c r="AL34" s="6">
        <v>0</v>
      </c>
      <c r="AM34" s="6">
        <v>0</v>
      </c>
      <c r="AN34" s="6">
        <v>0</v>
      </c>
    </row>
    <row r="35" spans="2:140" s="2" customFormat="1" x14ac:dyDescent="0.3">
      <c r="B35" s="2" t="s">
        <v>30</v>
      </c>
      <c r="C35" s="9">
        <f t="shared" ref="C35" si="98">C32-C33-C34</f>
        <v>1134</v>
      </c>
      <c r="D35" s="9">
        <f t="shared" ref="D35" si="99">D32-D33-D34</f>
        <v>1261</v>
      </c>
      <c r="G35" s="9">
        <f t="shared" ref="G35" si="100">G32-G33-G34</f>
        <v>1394</v>
      </c>
      <c r="H35" s="9">
        <f t="shared" ref="H35:I35" si="101">H32-H33-H34</f>
        <v>1487</v>
      </c>
      <c r="I35" s="9">
        <f t="shared" si="101"/>
        <v>1514</v>
      </c>
      <c r="J35" s="9">
        <f t="shared" ref="J35:K35" si="102">J32-J33-J34</f>
        <v>1263</v>
      </c>
      <c r="K35" s="9">
        <f t="shared" si="102"/>
        <v>1463</v>
      </c>
      <c r="L35" s="9">
        <f t="shared" ref="L35:M35" si="103">L32-L33-L34</f>
        <v>1544</v>
      </c>
      <c r="M35" s="9">
        <f t="shared" si="103"/>
        <v>1413</v>
      </c>
      <c r="N35" s="9">
        <f t="shared" ref="N35" si="104">N32-N33-N34</f>
        <v>1285</v>
      </c>
      <c r="O35" s="9">
        <f t="shared" ref="O35:P35" si="105">O32-O33-O34</f>
        <v>1449</v>
      </c>
      <c r="P35" s="9">
        <f t="shared" si="105"/>
        <v>1570</v>
      </c>
      <c r="Q35" s="9">
        <f t="shared" ref="Q35:R35" si="106">Q32-Q33-Q34</f>
        <v>1825</v>
      </c>
      <c r="R35" s="9">
        <f t="shared" si="106"/>
        <v>295</v>
      </c>
      <c r="S35" s="9"/>
      <c r="T35" s="9"/>
      <c r="U35" s="9"/>
      <c r="V35" s="9"/>
      <c r="X35" s="9">
        <f t="shared" ref="X35:AC35" si="107">X32-X33-X34</f>
        <v>6143</v>
      </c>
      <c r="Y35" s="9">
        <f t="shared" si="107"/>
        <v>4779</v>
      </c>
      <c r="Z35" s="9">
        <f t="shared" si="107"/>
        <v>5542</v>
      </c>
      <c r="AA35" s="9">
        <f t="shared" si="107"/>
        <v>4966</v>
      </c>
      <c r="AB35" s="9">
        <f t="shared" si="107"/>
        <v>5658</v>
      </c>
      <c r="AC35" s="9">
        <f t="shared" si="107"/>
        <v>5705</v>
      </c>
      <c r="AD35" s="9">
        <f t="shared" ref="AD35:AN35" si="108">AD32-AD33-AD34</f>
        <v>5139</v>
      </c>
      <c r="AE35" s="9">
        <f t="shared" si="108"/>
        <v>6505.5237579999994</v>
      </c>
      <c r="AF35" s="9">
        <f t="shared" si="108"/>
        <v>6930.999279900002</v>
      </c>
      <c r="AG35" s="9">
        <f t="shared" si="108"/>
        <v>7360.4582499260014</v>
      </c>
      <c r="AH35" s="9">
        <f t="shared" si="108"/>
        <v>7686.5071472871823</v>
      </c>
      <c r="AI35" s="9">
        <f t="shared" si="108"/>
        <v>7936.5785144347537</v>
      </c>
      <c r="AJ35" s="9">
        <f t="shared" si="108"/>
        <v>8045.0193873559328</v>
      </c>
      <c r="AK35" s="9">
        <f t="shared" si="108"/>
        <v>8155.1261707618651</v>
      </c>
      <c r="AL35" s="9">
        <f t="shared" si="108"/>
        <v>8266.927153792496</v>
      </c>
      <c r="AM35" s="9">
        <f t="shared" si="108"/>
        <v>8380.4511410798932</v>
      </c>
      <c r="AN35" s="9">
        <f t="shared" si="108"/>
        <v>8495.7274625551618</v>
      </c>
      <c r="AO35" s="2">
        <f>AN35*(1+$AQ$45)</f>
        <v>8410.7701879296092</v>
      </c>
      <c r="AP35" s="2">
        <f t="shared" ref="AP35:DA35" si="109">AO35*(1+$AQ$45)</f>
        <v>8326.6624860503125</v>
      </c>
      <c r="AQ35" s="2">
        <f t="shared" si="109"/>
        <v>8243.3958611898088</v>
      </c>
      <c r="AR35" s="2">
        <f t="shared" si="109"/>
        <v>8160.9619025779102</v>
      </c>
      <c r="AS35" s="2">
        <f t="shared" si="109"/>
        <v>8079.3522835521308</v>
      </c>
      <c r="AT35" s="2">
        <f t="shared" si="109"/>
        <v>7998.558760716609</v>
      </c>
      <c r="AU35" s="2">
        <f t="shared" si="109"/>
        <v>7918.5731731094429</v>
      </c>
      <c r="AV35" s="2">
        <f t="shared" si="109"/>
        <v>7839.3874413783487</v>
      </c>
      <c r="AW35" s="2">
        <f t="shared" si="109"/>
        <v>7760.9935669645656</v>
      </c>
      <c r="AX35" s="2">
        <f t="shared" si="109"/>
        <v>7683.3836312949197</v>
      </c>
      <c r="AY35" s="2">
        <f t="shared" si="109"/>
        <v>7606.5497949819701</v>
      </c>
      <c r="AZ35" s="2">
        <f t="shared" si="109"/>
        <v>7530.4842970321506</v>
      </c>
      <c r="BA35" s="2">
        <f t="shared" si="109"/>
        <v>7455.1794540618293</v>
      </c>
      <c r="BB35" s="2">
        <f t="shared" si="109"/>
        <v>7380.6276595212112</v>
      </c>
      <c r="BC35" s="2">
        <f t="shared" si="109"/>
        <v>7306.8213829259994</v>
      </c>
      <c r="BD35" s="2">
        <f t="shared" si="109"/>
        <v>7233.7531690967389</v>
      </c>
      <c r="BE35" s="2">
        <f t="shared" si="109"/>
        <v>7161.4156374057711</v>
      </c>
      <c r="BF35" s="2">
        <f t="shared" si="109"/>
        <v>7089.8014810317136</v>
      </c>
      <c r="BG35" s="2">
        <f t="shared" si="109"/>
        <v>7018.9034662213962</v>
      </c>
      <c r="BH35" s="2">
        <f t="shared" si="109"/>
        <v>6948.7144315591822</v>
      </c>
      <c r="BI35" s="2">
        <f t="shared" si="109"/>
        <v>6879.2272872435906</v>
      </c>
      <c r="BJ35" s="2">
        <f t="shared" si="109"/>
        <v>6810.4350143711545</v>
      </c>
      <c r="BK35" s="2">
        <f t="shared" si="109"/>
        <v>6742.3306642274429</v>
      </c>
      <c r="BL35" s="2">
        <f t="shared" si="109"/>
        <v>6674.907357585168</v>
      </c>
      <c r="BM35" s="2">
        <f t="shared" si="109"/>
        <v>6608.158284009316</v>
      </c>
      <c r="BN35" s="2">
        <f t="shared" si="109"/>
        <v>6542.0767011692233</v>
      </c>
      <c r="BO35" s="2">
        <f t="shared" si="109"/>
        <v>6476.6559341575312</v>
      </c>
      <c r="BP35" s="2">
        <f t="shared" si="109"/>
        <v>6411.8893748159562</v>
      </c>
      <c r="BQ35" s="2">
        <f t="shared" si="109"/>
        <v>6347.7704810677969</v>
      </c>
      <c r="BR35" s="2">
        <f t="shared" si="109"/>
        <v>6284.2927762571189</v>
      </c>
      <c r="BS35" s="2">
        <f t="shared" si="109"/>
        <v>6221.449848494548</v>
      </c>
      <c r="BT35" s="2">
        <f t="shared" si="109"/>
        <v>6159.2353500096024</v>
      </c>
      <c r="BU35" s="2">
        <f t="shared" si="109"/>
        <v>6097.6429965095067</v>
      </c>
      <c r="BV35" s="2">
        <f t="shared" si="109"/>
        <v>6036.6665665444116</v>
      </c>
      <c r="BW35" s="2">
        <f t="shared" si="109"/>
        <v>5976.2999008789675</v>
      </c>
      <c r="BX35" s="2">
        <f t="shared" si="109"/>
        <v>5916.5369018701776</v>
      </c>
      <c r="BY35" s="2">
        <f t="shared" si="109"/>
        <v>5857.3715328514754</v>
      </c>
      <c r="BZ35" s="2">
        <f t="shared" si="109"/>
        <v>5798.7978175229609</v>
      </c>
      <c r="CA35" s="2">
        <f t="shared" si="109"/>
        <v>5740.8098393477312</v>
      </c>
      <c r="CB35" s="2">
        <f t="shared" si="109"/>
        <v>5683.4017409542539</v>
      </c>
      <c r="CC35" s="2">
        <f t="shared" si="109"/>
        <v>5626.567723544711</v>
      </c>
      <c r="CD35" s="2">
        <f t="shared" si="109"/>
        <v>5570.3020463092635</v>
      </c>
      <c r="CE35" s="2">
        <f t="shared" si="109"/>
        <v>5514.5990258461707</v>
      </c>
      <c r="CF35" s="2">
        <f t="shared" si="109"/>
        <v>5459.4530355877087</v>
      </c>
      <c r="CG35" s="2">
        <f t="shared" si="109"/>
        <v>5404.8585052318313</v>
      </c>
      <c r="CH35" s="2">
        <f t="shared" si="109"/>
        <v>5350.809920179513</v>
      </c>
      <c r="CI35" s="2">
        <f t="shared" si="109"/>
        <v>5297.3018209777174</v>
      </c>
      <c r="CJ35" s="2">
        <f t="shared" si="109"/>
        <v>5244.32880276794</v>
      </c>
      <c r="CK35" s="2">
        <f t="shared" si="109"/>
        <v>5191.885514740261</v>
      </c>
      <c r="CL35" s="2">
        <f t="shared" si="109"/>
        <v>5139.9666595928584</v>
      </c>
      <c r="CM35" s="2">
        <f t="shared" si="109"/>
        <v>5088.5669929969299</v>
      </c>
      <c r="CN35" s="2">
        <f t="shared" si="109"/>
        <v>5037.6813230669604</v>
      </c>
      <c r="CO35" s="2">
        <f t="shared" si="109"/>
        <v>4987.3045098362909</v>
      </c>
      <c r="CP35" s="2">
        <f t="shared" si="109"/>
        <v>4937.4314647379279</v>
      </c>
      <c r="CQ35" s="2">
        <f t="shared" si="109"/>
        <v>4888.0571500905489</v>
      </c>
      <c r="CR35" s="2">
        <f t="shared" si="109"/>
        <v>4839.1765785896432</v>
      </c>
      <c r="CS35" s="2">
        <f t="shared" si="109"/>
        <v>4790.7848128037467</v>
      </c>
      <c r="CT35" s="2">
        <f t="shared" si="109"/>
        <v>4742.8769646757091</v>
      </c>
      <c r="CU35" s="2">
        <f t="shared" si="109"/>
        <v>4695.4481950289519</v>
      </c>
      <c r="CV35" s="2">
        <f t="shared" si="109"/>
        <v>4648.493713078662</v>
      </c>
      <c r="CW35" s="2">
        <f t="shared" si="109"/>
        <v>4602.0087759478756</v>
      </c>
      <c r="CX35" s="2">
        <f t="shared" si="109"/>
        <v>4555.9886881883967</v>
      </c>
      <c r="CY35" s="2">
        <f t="shared" si="109"/>
        <v>4510.4288013065125</v>
      </c>
      <c r="CZ35" s="2">
        <f t="shared" si="109"/>
        <v>4465.3245132934471</v>
      </c>
      <c r="DA35" s="2">
        <f t="shared" si="109"/>
        <v>4420.6712681605122</v>
      </c>
      <c r="DB35" s="2">
        <f t="shared" ref="DB35:EJ35" si="110">DA35*(1+$AQ$45)</f>
        <v>4376.4645554789067</v>
      </c>
      <c r="DC35" s="2">
        <f t="shared" si="110"/>
        <v>4332.6999099241175</v>
      </c>
      <c r="DD35" s="2">
        <f t="shared" si="110"/>
        <v>4289.3729108248763</v>
      </c>
      <c r="DE35" s="2">
        <f t="shared" si="110"/>
        <v>4246.4791817166279</v>
      </c>
      <c r="DF35" s="2">
        <f t="shared" si="110"/>
        <v>4204.0143898994611</v>
      </c>
      <c r="DG35" s="2">
        <f t="shared" si="110"/>
        <v>4161.9742460004663</v>
      </c>
      <c r="DH35" s="2">
        <f t="shared" si="110"/>
        <v>4120.3545035404613</v>
      </c>
      <c r="DI35" s="2">
        <f t="shared" si="110"/>
        <v>4079.1509585050567</v>
      </c>
      <c r="DJ35" s="2">
        <f t="shared" si="110"/>
        <v>4038.3594489200059</v>
      </c>
      <c r="DK35" s="2">
        <f t="shared" si="110"/>
        <v>3997.9758544308056</v>
      </c>
      <c r="DL35" s="2">
        <f t="shared" si="110"/>
        <v>3957.9960958864976</v>
      </c>
      <c r="DM35" s="2">
        <f t="shared" si="110"/>
        <v>3918.4161349276328</v>
      </c>
      <c r="DN35" s="2">
        <f t="shared" si="110"/>
        <v>3879.2319735783562</v>
      </c>
      <c r="DO35" s="2">
        <f t="shared" si="110"/>
        <v>3840.4396538425726</v>
      </c>
      <c r="DP35" s="2">
        <f t="shared" si="110"/>
        <v>3802.0352573041469</v>
      </c>
      <c r="DQ35" s="2">
        <f t="shared" si="110"/>
        <v>3764.0149047311052</v>
      </c>
      <c r="DR35" s="2">
        <f t="shared" si="110"/>
        <v>3726.3747556837939</v>
      </c>
      <c r="DS35" s="2">
        <f t="shared" si="110"/>
        <v>3689.1110081269558</v>
      </c>
      <c r="DT35" s="2">
        <f t="shared" si="110"/>
        <v>3652.219898045686</v>
      </c>
      <c r="DU35" s="2">
        <f t="shared" si="110"/>
        <v>3615.6976990652292</v>
      </c>
      <c r="DV35" s="2">
        <f t="shared" si="110"/>
        <v>3579.5407220745769</v>
      </c>
      <c r="DW35" s="2">
        <f t="shared" si="110"/>
        <v>3543.7453148538311</v>
      </c>
      <c r="DX35" s="2">
        <f t="shared" si="110"/>
        <v>3508.3078617052929</v>
      </c>
      <c r="DY35" s="2">
        <f t="shared" si="110"/>
        <v>3473.2247830882397</v>
      </c>
      <c r="DZ35" s="2">
        <f t="shared" si="110"/>
        <v>3438.4925352573573</v>
      </c>
      <c r="EA35" s="2">
        <f t="shared" si="110"/>
        <v>3404.1076099047837</v>
      </c>
      <c r="EB35" s="2">
        <f t="shared" si="110"/>
        <v>3370.0665338057356</v>
      </c>
      <c r="EC35" s="2">
        <f t="shared" si="110"/>
        <v>3336.3658684676784</v>
      </c>
      <c r="ED35" s="2">
        <f t="shared" si="110"/>
        <v>3303.0022097830015</v>
      </c>
      <c r="EE35" s="2">
        <f t="shared" si="110"/>
        <v>3269.9721876851713</v>
      </c>
      <c r="EF35" s="2">
        <f t="shared" si="110"/>
        <v>3237.2724658083198</v>
      </c>
      <c r="EG35" s="2">
        <f t="shared" si="110"/>
        <v>3204.8997411502364</v>
      </c>
      <c r="EH35" s="2">
        <f t="shared" si="110"/>
        <v>3172.8507437387339</v>
      </c>
      <c r="EI35" s="2">
        <f t="shared" si="110"/>
        <v>3141.1222363013467</v>
      </c>
      <c r="EJ35" s="2">
        <f t="shared" si="110"/>
        <v>3109.7110139383331</v>
      </c>
    </row>
    <row r="36" spans="2:140" x14ac:dyDescent="0.3">
      <c r="B36" s="1" t="s">
        <v>2</v>
      </c>
      <c r="C36" s="6">
        <f>637.5</f>
        <v>637.5</v>
      </c>
      <c r="D36" s="6">
        <f>637.5</f>
        <v>637.5</v>
      </c>
      <c r="G36" s="6">
        <f t="shared" ref="G36:P36" si="111">637.5</f>
        <v>637.5</v>
      </c>
      <c r="H36" s="6">
        <f t="shared" si="111"/>
        <v>637.5</v>
      </c>
      <c r="I36" s="6">
        <f t="shared" si="111"/>
        <v>637.5</v>
      </c>
      <c r="J36" s="6">
        <f t="shared" si="111"/>
        <v>637.5</v>
      </c>
      <c r="K36" s="6">
        <f t="shared" si="111"/>
        <v>637.5</v>
      </c>
      <c r="L36" s="6">
        <f t="shared" si="111"/>
        <v>637.5</v>
      </c>
      <c r="M36" s="6">
        <f t="shared" si="111"/>
        <v>637.5</v>
      </c>
      <c r="N36" s="6">
        <f t="shared" si="111"/>
        <v>637.5</v>
      </c>
      <c r="O36" s="6">
        <f t="shared" si="111"/>
        <v>637.5</v>
      </c>
      <c r="P36" s="6">
        <f t="shared" si="111"/>
        <v>637.5</v>
      </c>
      <c r="Q36" s="6">
        <v>634.9</v>
      </c>
      <c r="R36" s="6">
        <f>635.2</f>
        <v>635.20000000000005</v>
      </c>
      <c r="S36" s="6"/>
      <c r="T36" s="6"/>
      <c r="U36" s="6"/>
      <c r="V36" s="6"/>
      <c r="X36" s="6">
        <f t="shared" ref="X36:AC36" si="112">649.9</f>
        <v>649.9</v>
      </c>
      <c r="Y36" s="6">
        <f t="shared" si="112"/>
        <v>649.9</v>
      </c>
      <c r="Z36" s="6">
        <f t="shared" si="112"/>
        <v>649.9</v>
      </c>
      <c r="AA36" s="6">
        <f t="shared" si="112"/>
        <v>649.9</v>
      </c>
      <c r="AB36" s="6">
        <f t="shared" si="112"/>
        <v>649.9</v>
      </c>
      <c r="AC36" s="6">
        <f t="shared" si="112"/>
        <v>649.9</v>
      </c>
      <c r="AD36" s="6">
        <f>635.2</f>
        <v>635.20000000000005</v>
      </c>
      <c r="AE36" s="6">
        <f>635.2</f>
        <v>635.20000000000005</v>
      </c>
      <c r="AF36" s="6">
        <f>635.2</f>
        <v>635.20000000000005</v>
      </c>
      <c r="AG36" s="6">
        <f>635.2</f>
        <v>635.20000000000005</v>
      </c>
      <c r="AH36" s="6">
        <f>635.2</f>
        <v>635.20000000000005</v>
      </c>
      <c r="AI36" s="6">
        <f>635.2</f>
        <v>635.20000000000005</v>
      </c>
      <c r="AJ36" s="6">
        <f>635.2</f>
        <v>635.20000000000005</v>
      </c>
      <c r="AK36" s="6">
        <f>635.2</f>
        <v>635.20000000000005</v>
      </c>
      <c r="AL36" s="6">
        <f>635.2</f>
        <v>635.20000000000005</v>
      </c>
      <c r="AM36" s="6">
        <f>635.2</f>
        <v>635.20000000000005</v>
      </c>
      <c r="AN36" s="6">
        <f>635.2</f>
        <v>635.20000000000005</v>
      </c>
    </row>
    <row r="37" spans="2:140" x14ac:dyDescent="0.3">
      <c r="B37" s="1" t="s">
        <v>31</v>
      </c>
      <c r="C37" s="8">
        <f t="shared" ref="C37" si="113">C35/C36</f>
        <v>1.7788235294117647</v>
      </c>
      <c r="D37" s="8">
        <f t="shared" ref="D37" si="114">D35/D36</f>
        <v>1.9780392156862745</v>
      </c>
      <c r="G37" s="8">
        <f t="shared" ref="G37" si="115">G35/G36</f>
        <v>2.1866666666666665</v>
      </c>
      <c r="H37" s="8">
        <f t="shared" ref="H37:I37" si="116">H35/H36</f>
        <v>2.3325490196078431</v>
      </c>
      <c r="I37" s="8">
        <f t="shared" si="116"/>
        <v>2.3749019607843138</v>
      </c>
      <c r="J37" s="8">
        <f t="shared" ref="J37:K37" si="117">J35/J36</f>
        <v>1.9811764705882353</v>
      </c>
      <c r="K37" s="8">
        <f t="shared" si="117"/>
        <v>2.2949019607843137</v>
      </c>
      <c r="L37" s="8">
        <f t="shared" ref="L37:M37" si="118">L35/L36</f>
        <v>2.4219607843137254</v>
      </c>
      <c r="M37" s="8">
        <f t="shared" si="118"/>
        <v>2.216470588235294</v>
      </c>
      <c r="N37" s="8">
        <f t="shared" ref="N37" si="119">N35/N36</f>
        <v>2.0156862745098039</v>
      </c>
      <c r="O37" s="8">
        <f t="shared" ref="O37:P37" si="120">O35/O36</f>
        <v>2.2729411764705882</v>
      </c>
      <c r="P37" s="8">
        <f t="shared" si="120"/>
        <v>2.4627450980392158</v>
      </c>
      <c r="Q37" s="8">
        <f t="shared" ref="Q37:R37" si="121">Q35/Q36</f>
        <v>2.8744684202236574</v>
      </c>
      <c r="R37" s="8">
        <f t="shared" si="121"/>
        <v>0.46442065491183876</v>
      </c>
      <c r="S37" s="8"/>
      <c r="T37" s="8"/>
      <c r="U37" s="8"/>
      <c r="V37" s="8"/>
      <c r="X37" s="8">
        <f t="shared" ref="X37:AC37" si="122">X35/X36</f>
        <v>9.4522234189875363</v>
      </c>
      <c r="Y37" s="8">
        <f t="shared" si="122"/>
        <v>7.3534389906139408</v>
      </c>
      <c r="Z37" s="8">
        <f t="shared" si="122"/>
        <v>8.5274657639636864</v>
      </c>
      <c r="AA37" s="8">
        <f t="shared" si="122"/>
        <v>7.6411755654716114</v>
      </c>
      <c r="AB37" s="8">
        <f t="shared" si="122"/>
        <v>8.7059547622711193</v>
      </c>
      <c r="AC37" s="8">
        <f t="shared" si="122"/>
        <v>8.778273580550854</v>
      </c>
      <c r="AD37" s="8">
        <f t="shared" ref="AD37:AN37" si="123">AD35/AD36</f>
        <v>8.0903652392947105</v>
      </c>
      <c r="AE37" s="8">
        <f t="shared" si="123"/>
        <v>10.24169357367758</v>
      </c>
      <c r="AF37" s="8">
        <f t="shared" si="123"/>
        <v>10.911522795812346</v>
      </c>
      <c r="AG37" s="8">
        <f t="shared" si="123"/>
        <v>11.587623189430102</v>
      </c>
      <c r="AH37" s="8">
        <f t="shared" si="123"/>
        <v>12.100924350263195</v>
      </c>
      <c r="AI37" s="8">
        <f t="shared" si="123"/>
        <v>12.494613530281413</v>
      </c>
      <c r="AJ37" s="8">
        <f t="shared" si="123"/>
        <v>12.665332788658583</v>
      </c>
      <c r="AK37" s="8">
        <f t="shared" si="123"/>
        <v>12.83867470208102</v>
      </c>
      <c r="AL37" s="8">
        <f t="shared" si="123"/>
        <v>13.014683806348387</v>
      </c>
      <c r="AM37" s="8">
        <f t="shared" si="123"/>
        <v>13.193405448803357</v>
      </c>
      <c r="AN37" s="8">
        <f t="shared" si="123"/>
        <v>13.37488580377072</v>
      </c>
    </row>
    <row r="39" spans="2:140" x14ac:dyDescent="0.3">
      <c r="B39" s="1" t="s">
        <v>74</v>
      </c>
      <c r="Q39" s="10">
        <f>Q10/M10-1</f>
        <v>0.15311860940695299</v>
      </c>
    </row>
    <row r="40" spans="2:140" x14ac:dyDescent="0.3">
      <c r="B40" s="1" t="s">
        <v>75</v>
      </c>
      <c r="Q40" s="10">
        <f>Q11/M11-1</f>
        <v>-9.076369452219113E-2</v>
      </c>
    </row>
    <row r="41" spans="2:140" x14ac:dyDescent="0.3">
      <c r="B41" s="1" t="s">
        <v>76</v>
      </c>
      <c r="Q41" s="10">
        <f>Q12/M12-1</f>
        <v>7.6217765042979835E-2</v>
      </c>
    </row>
    <row r="42" spans="2:140" x14ac:dyDescent="0.3">
      <c r="B42" s="1" t="s">
        <v>77</v>
      </c>
      <c r="Q42" s="10">
        <f>Q13/M13-1</f>
        <v>0.11452335252719137</v>
      </c>
    </row>
    <row r="44" spans="2:140" x14ac:dyDescent="0.3">
      <c r="B44" s="1" t="s">
        <v>47</v>
      </c>
      <c r="C44" s="10"/>
      <c r="D44" s="10"/>
      <c r="G44" s="10">
        <f>G17/C17-1</f>
        <v>2.9028049575994697E-2</v>
      </c>
      <c r="H44" s="10">
        <f>H17/D17-1</f>
        <v>-3.6355475763016121E-2</v>
      </c>
      <c r="I44" s="10"/>
      <c r="J44" s="10"/>
      <c r="K44" s="10">
        <f t="shared" ref="K44:L45" si="124">K17/G17-1</f>
        <v>-7.4484944532487996E-3</v>
      </c>
      <c r="L44" s="10">
        <f t="shared" si="124"/>
        <v>5.5891942244992165E-3</v>
      </c>
      <c r="M44" s="10">
        <f>M17/I17-1</f>
        <v>4.7028916428344392E-2</v>
      </c>
      <c r="N44" s="10">
        <f>N17/J17-1</f>
        <v>3.2847800237812086E-2</v>
      </c>
      <c r="O44" s="10">
        <f>O17/K17-1</f>
        <v>6.0993134280696193E-2</v>
      </c>
      <c r="P44" s="10">
        <f>P17/L17-1</f>
        <v>9.911996294580816E-2</v>
      </c>
      <c r="Q44" s="10">
        <f t="shared" ref="Q44:R45" si="125">Q17/M17-1</f>
        <v>7.5265553869499291E-2</v>
      </c>
      <c r="R44" s="10">
        <f t="shared" si="125"/>
        <v>-8.6055547560800139E-2</v>
      </c>
      <c r="S44" s="10"/>
      <c r="T44" s="10"/>
      <c r="U44" s="10"/>
      <c r="V44" s="10"/>
      <c r="X44" s="10"/>
      <c r="Y44" s="10">
        <f t="shared" ref="Y44:AC46" si="126">Y17/X17-1</f>
        <v>-0.10467262658800536</v>
      </c>
      <c r="Z44" s="10">
        <f t="shared" si="126"/>
        <v>3.6625298136394813E-2</v>
      </c>
      <c r="AA44" s="10">
        <f t="shared" si="126"/>
        <v>1.2362048122294578E-2</v>
      </c>
      <c r="AB44" s="10">
        <f t="shared" si="126"/>
        <v>-7.2033898305084998E-3</v>
      </c>
      <c r="AC44" s="10">
        <f t="shared" si="126"/>
        <v>1.9632949210413919E-2</v>
      </c>
      <c r="AD44" s="10">
        <f t="shared" ref="AD44:AD46" si="127">AD17/AC17-1</f>
        <v>3.5085048898359839E-2</v>
      </c>
      <c r="AE44" s="10">
        <f t="shared" ref="AE44:AE46" si="128">AE17/AD17-1</f>
        <v>6.0000000000000053E-2</v>
      </c>
      <c r="AF44" s="10">
        <f t="shared" ref="AF44:AF46" si="129">AF17/AE17-1</f>
        <v>5.0000000000000044E-2</v>
      </c>
      <c r="AG44" s="10">
        <f t="shared" ref="AG44:AG46" si="130">AG17/AF17-1</f>
        <v>4.0000000000000036E-2</v>
      </c>
      <c r="AH44" s="10">
        <f t="shared" ref="AH44:AH46" si="131">AH17/AG17-1</f>
        <v>3.0000000000000027E-2</v>
      </c>
      <c r="AI44" s="10">
        <f t="shared" ref="AI44:AI46" si="132">AI17/AH17-1</f>
        <v>2.0000000000000018E-2</v>
      </c>
      <c r="AJ44" s="10">
        <f t="shared" ref="AJ44:AJ46" si="133">AJ17/AI17-1</f>
        <v>1.0000000000000009E-2</v>
      </c>
      <c r="AK44" s="10">
        <f t="shared" ref="AK44:AK46" si="134">AK17/AJ17-1</f>
        <v>1.0000000000000009E-2</v>
      </c>
      <c r="AL44" s="10">
        <f t="shared" ref="AL44:AL46" si="135">AL17/AK17-1</f>
        <v>1.0000000000000009E-2</v>
      </c>
      <c r="AM44" s="10">
        <f t="shared" ref="AM44:AM46" si="136">AM17/AL17-1</f>
        <v>1.0000000000000009E-2</v>
      </c>
      <c r="AN44" s="10">
        <f t="shared" ref="AN44:AN46" si="137">AN17/AM17-1</f>
        <v>1.0000000000000009E-2</v>
      </c>
    </row>
    <row r="45" spans="2:140" x14ac:dyDescent="0.3">
      <c r="B45" s="1" t="s">
        <v>48</v>
      </c>
      <c r="C45" s="10"/>
      <c r="D45" s="10"/>
      <c r="G45" s="10">
        <f t="shared" ref="G45:H45" si="138">G18/C18-1</f>
        <v>0.1381461675579323</v>
      </c>
      <c r="H45" s="10">
        <f t="shared" si="138"/>
        <v>0.19215513442044951</v>
      </c>
      <c r="I45" s="10"/>
      <c r="J45" s="10"/>
      <c r="K45" s="10">
        <f t="shared" si="124"/>
        <v>0.11276429130775245</v>
      </c>
      <c r="L45" s="10">
        <f t="shared" si="124"/>
        <v>0.14602587800369693</v>
      </c>
      <c r="M45" s="10">
        <f t="shared" ref="M45:P45" si="139">M18/I18-1</f>
        <v>7.5394105551747748E-2</v>
      </c>
      <c r="N45" s="10">
        <f t="shared" si="139"/>
        <v>0.15744837758112085</v>
      </c>
      <c r="O45" s="10">
        <f t="shared" si="139"/>
        <v>0.11787473610133703</v>
      </c>
      <c r="P45" s="10">
        <f t="shared" si="139"/>
        <v>4.2903225806451672E-2</v>
      </c>
      <c r="Q45" s="10">
        <f t="shared" si="125"/>
        <v>5.8636073932440969E-2</v>
      </c>
      <c r="R45" s="10">
        <f t="shared" si="125"/>
        <v>8.5377508760751786E-2</v>
      </c>
      <c r="S45" s="10"/>
      <c r="T45" s="10"/>
      <c r="U45" s="10"/>
      <c r="V45" s="10"/>
      <c r="X45" s="10"/>
      <c r="Y45" s="10">
        <f t="shared" si="126"/>
        <v>-0.12995594713656389</v>
      </c>
      <c r="Z45" s="10">
        <f t="shared" si="126"/>
        <v>0.10746835443037983</v>
      </c>
      <c r="AA45" s="10">
        <f t="shared" si="126"/>
        <v>8.6524174191336067E-2</v>
      </c>
      <c r="AB45" s="10">
        <f t="shared" si="126"/>
        <v>0.14548706080370288</v>
      </c>
      <c r="AC45" s="10">
        <f t="shared" si="126"/>
        <v>0.12214161079988983</v>
      </c>
      <c r="AD45" s="10">
        <f t="shared" si="127"/>
        <v>7.5292577133971639E-2</v>
      </c>
      <c r="AE45" s="10">
        <f t="shared" si="128"/>
        <v>6.0000000000000053E-2</v>
      </c>
      <c r="AF45" s="10">
        <f t="shared" si="129"/>
        <v>5.0000000000000044E-2</v>
      </c>
      <c r="AG45" s="10">
        <f t="shared" si="130"/>
        <v>4.0000000000000036E-2</v>
      </c>
      <c r="AH45" s="10">
        <f t="shared" si="131"/>
        <v>3.0000000000000027E-2</v>
      </c>
      <c r="AI45" s="10">
        <f t="shared" si="132"/>
        <v>3.0000000000000027E-2</v>
      </c>
      <c r="AJ45" s="10">
        <f t="shared" si="133"/>
        <v>2.0000000000000018E-2</v>
      </c>
      <c r="AK45" s="10">
        <f t="shared" si="134"/>
        <v>2.0000000000000018E-2</v>
      </c>
      <c r="AL45" s="10">
        <f t="shared" si="135"/>
        <v>2.0000000000000018E-2</v>
      </c>
      <c r="AM45" s="10">
        <f t="shared" si="136"/>
        <v>2.0000000000000018E-2</v>
      </c>
      <c r="AN45" s="10">
        <f t="shared" si="137"/>
        <v>2.0000000000000018E-2</v>
      </c>
      <c r="AP45" s="1" t="s">
        <v>57</v>
      </c>
      <c r="AQ45" s="10">
        <v>-0.01</v>
      </c>
    </row>
    <row r="46" spans="2:140" s="2" customFormat="1" x14ac:dyDescent="0.3">
      <c r="B46" s="2" t="s">
        <v>49</v>
      </c>
      <c r="C46" s="11"/>
      <c r="D46" s="11"/>
      <c r="G46" s="11">
        <f>G19/C19-1</f>
        <v>5.8261700095511015E-2</v>
      </c>
      <c r="H46" s="11">
        <f>H19/D19-1</f>
        <v>2.1557019993298399E-2</v>
      </c>
      <c r="I46" s="11"/>
      <c r="J46" s="11"/>
      <c r="K46" s="11">
        <f t="shared" ref="K46:L46" si="140">K19/G19-1</f>
        <v>2.7188628158844708E-2</v>
      </c>
      <c r="L46" s="11">
        <f t="shared" si="140"/>
        <v>4.7124425978569917E-2</v>
      </c>
      <c r="M46" s="11">
        <f>M19/I19-1</f>
        <v>5.6013894919670015E-2</v>
      </c>
      <c r="N46" s="11">
        <f>N19/J19-1</f>
        <v>6.8644067796610253E-2</v>
      </c>
      <c r="O46" s="11">
        <f>O19/K19-1</f>
        <v>7.8747940691927587E-2</v>
      </c>
      <c r="P46" s="11">
        <f>P19/L19-1</f>
        <v>8.092304479482082E-2</v>
      </c>
      <c r="Q46" s="11">
        <f t="shared" ref="Q46:R46" si="141">Q19/M19-1</f>
        <v>6.9901315789473673E-2</v>
      </c>
      <c r="R46" s="11">
        <f t="shared" si="141"/>
        <v>-3.271213322759714E-2</v>
      </c>
      <c r="S46" s="11"/>
      <c r="T46" s="11"/>
      <c r="U46" s="11"/>
      <c r="V46" s="11"/>
      <c r="X46" s="11"/>
      <c r="Y46" s="11">
        <f t="shared" si="126"/>
        <v>-0.11092647579612624</v>
      </c>
      <c r="Z46" s="11">
        <f t="shared" si="126"/>
        <v>5.377332475411345E-2</v>
      </c>
      <c r="AA46" s="11">
        <f t="shared" si="126"/>
        <v>3.1228192602930971E-2</v>
      </c>
      <c r="AB46" s="11">
        <f t="shared" si="126"/>
        <v>3.3722438391699194E-2</v>
      </c>
      <c r="AC46" s="11">
        <f t="shared" si="126"/>
        <v>5.0079100976487823E-2</v>
      </c>
      <c r="AD46" s="11">
        <f t="shared" si="127"/>
        <v>4.7846641383967992E-2</v>
      </c>
      <c r="AE46" s="11">
        <f t="shared" si="128"/>
        <v>6.0000000000000053E-2</v>
      </c>
      <c r="AF46" s="11">
        <f t="shared" si="129"/>
        <v>5.0000000000000044E-2</v>
      </c>
      <c r="AG46" s="11">
        <f t="shared" si="130"/>
        <v>4.0000000000000036E-2</v>
      </c>
      <c r="AH46" s="11">
        <f t="shared" si="131"/>
        <v>3.0000000000000027E-2</v>
      </c>
      <c r="AI46" s="11">
        <f t="shared" si="132"/>
        <v>2.3257064947942441E-2</v>
      </c>
      <c r="AJ46" s="11">
        <f t="shared" si="133"/>
        <v>1.3278527958711317E-2</v>
      </c>
      <c r="AK46" s="11">
        <f t="shared" si="134"/>
        <v>1.3300275714538845E-2</v>
      </c>
      <c r="AL46" s="11">
        <f t="shared" si="135"/>
        <v>1.3322096430355312E-2</v>
      </c>
      <c r="AM46" s="11">
        <f t="shared" si="136"/>
        <v>1.3343989409585921E-2</v>
      </c>
      <c r="AN46" s="11">
        <f t="shared" si="137"/>
        <v>1.3365953943995867E-2</v>
      </c>
      <c r="AP46" s="1" t="s">
        <v>58</v>
      </c>
      <c r="AQ46" s="10">
        <v>0.06</v>
      </c>
    </row>
    <row r="47" spans="2:140" x14ac:dyDescent="0.3">
      <c r="B47" s="1" t="s">
        <v>50</v>
      </c>
      <c r="C47" s="10">
        <f t="shared" ref="C47" si="142">(C17-C20)/C17</f>
        <v>0.33806262230919765</v>
      </c>
      <c r="D47" s="10">
        <f t="shared" ref="D47" si="143">(D17-D20)/D17</f>
        <v>0.35233393177737882</v>
      </c>
      <c r="G47" s="10">
        <f t="shared" ref="G47" si="144">(G17-G20)/G17</f>
        <v>0.35530903328050711</v>
      </c>
      <c r="H47" s="10">
        <f t="shared" ref="H47:I47" si="145">(H17-H20)/H17</f>
        <v>0.35832945194845522</v>
      </c>
      <c r="I47" s="10">
        <f t="shared" si="145"/>
        <v>0.35017476962186211</v>
      </c>
      <c r="J47" s="10">
        <f t="shared" ref="J47:K47" si="146">(J17-J20)/J17</f>
        <v>0.3035077288941736</v>
      </c>
      <c r="K47" s="10">
        <f t="shared" si="146"/>
        <v>0.35574006067379849</v>
      </c>
      <c r="L47" s="10">
        <f t="shared" ref="L47:M48" si="147">(L17-L20)/L17</f>
        <v>0.34429519839431838</v>
      </c>
      <c r="M47" s="10">
        <f t="shared" si="147"/>
        <v>0.3678300455235205</v>
      </c>
      <c r="N47" s="10">
        <f t="shared" ref="N47" si="148">(N17-N20)/N17</f>
        <v>0.31227514750323787</v>
      </c>
      <c r="O47" s="10">
        <f t="shared" ref="O47:P47" si="149">(O17-O20)/O17</f>
        <v>0.36027088036117383</v>
      </c>
      <c r="P47" s="10">
        <f t="shared" si="149"/>
        <v>0.36114622840286559</v>
      </c>
      <c r="Q47" s="10">
        <f t="shared" ref="Q47:R47" si="150">(Q17-Q20)/Q17</f>
        <v>0.33192209991532601</v>
      </c>
      <c r="R47" s="10">
        <f t="shared" si="150"/>
        <v>0.31349393796252556</v>
      </c>
      <c r="S47" s="10"/>
      <c r="T47" s="10"/>
      <c r="U47" s="10"/>
      <c r="V47" s="10"/>
      <c r="X47" s="10">
        <f t="shared" ref="X47:AC48" si="151">(X17-X20)/X17</f>
        <v>0.30258062181041662</v>
      </c>
      <c r="Y47" s="10">
        <f t="shared" si="151"/>
        <v>0.28697901928285563</v>
      </c>
      <c r="Z47" s="10">
        <f t="shared" si="151"/>
        <v>0.28463908279062511</v>
      </c>
      <c r="AA47" s="10">
        <f t="shared" si="151"/>
        <v>0.34687981510015409</v>
      </c>
      <c r="AB47" s="10">
        <f t="shared" si="151"/>
        <v>0.34128739378419276</v>
      </c>
      <c r="AC47" s="10">
        <f t="shared" si="151"/>
        <v>0.34445755165721681</v>
      </c>
      <c r="AD47" s="10">
        <f t="shared" ref="AD47:AN47" si="152">(AD17-AD20)/AD17</f>
        <v>0.34219330171684864</v>
      </c>
      <c r="AE47" s="10">
        <f t="shared" si="152"/>
        <v>0.33999999999999997</v>
      </c>
      <c r="AF47" s="10">
        <f t="shared" si="152"/>
        <v>0.33999999999999991</v>
      </c>
      <c r="AG47" s="10">
        <f t="shared" si="152"/>
        <v>0.33999999999999997</v>
      </c>
      <c r="AH47" s="10">
        <f t="shared" si="152"/>
        <v>0.33999999999999991</v>
      </c>
      <c r="AI47" s="10">
        <f t="shared" si="152"/>
        <v>0.33999999999999997</v>
      </c>
      <c r="AJ47" s="10">
        <f t="shared" si="152"/>
        <v>0.33999999999999997</v>
      </c>
      <c r="AK47" s="10">
        <f t="shared" si="152"/>
        <v>0.34</v>
      </c>
      <c r="AL47" s="10">
        <f t="shared" si="152"/>
        <v>0.33999999999999991</v>
      </c>
      <c r="AM47" s="10">
        <f t="shared" si="152"/>
        <v>0.33999999999999991</v>
      </c>
      <c r="AN47" s="10">
        <f t="shared" si="152"/>
        <v>0.34</v>
      </c>
      <c r="AP47" s="1" t="s">
        <v>59</v>
      </c>
      <c r="AQ47" s="6">
        <f>NPV(AQ46,AD35:EJ35)</f>
        <v>121368.88093591225</v>
      </c>
    </row>
    <row r="48" spans="2:140" x14ac:dyDescent="0.3">
      <c r="B48" s="1" t="s">
        <v>51</v>
      </c>
      <c r="C48" s="10">
        <f t="shared" ref="C48" si="153">(C18-C21)/C18</f>
        <v>0.43627450980392157</v>
      </c>
      <c r="D48" s="10">
        <f t="shared" ref="D48" si="154">(D18-D21)/D18</f>
        <v>0.4133979726751873</v>
      </c>
      <c r="G48" s="10">
        <f t="shared" ref="G48" si="155">(G18-G21)/G18</f>
        <v>0.44009397024275648</v>
      </c>
      <c r="H48" s="10">
        <f t="shared" ref="H48:I48" si="156">(H18-H21)/H18</f>
        <v>0.44805914972273569</v>
      </c>
      <c r="I48" s="10">
        <f t="shared" si="156"/>
        <v>0.45853324194653872</v>
      </c>
      <c r="J48" s="10">
        <f t="shared" ref="J48:K48" si="157">(J18-J21)/J18</f>
        <v>0.4413716814159292</v>
      </c>
      <c r="K48" s="10">
        <f t="shared" si="157"/>
        <v>0.45531315974665726</v>
      </c>
      <c r="L48" s="10">
        <f t="shared" si="147"/>
        <v>0.48096774193548386</v>
      </c>
      <c r="M48" s="10">
        <f t="shared" si="147"/>
        <v>0.42224346717654559</v>
      </c>
      <c r="N48" s="10">
        <f t="shared" ref="N48" si="158">(N18-N21)/N18</f>
        <v>0.47785919082510353</v>
      </c>
      <c r="O48" s="10">
        <f t="shared" ref="O48:P48" si="159">(O18-O21)/O18</f>
        <v>0.43783443500157382</v>
      </c>
      <c r="P48" s="10">
        <f t="shared" si="159"/>
        <v>0.44911846582121867</v>
      </c>
      <c r="Q48" s="10">
        <f t="shared" ref="Q48:R48" si="160">(Q18-Q21)/Q18</f>
        <v>0.35972305839855506</v>
      </c>
      <c r="R48" s="10">
        <f t="shared" si="160"/>
        <v>0.43410625183445845</v>
      </c>
      <c r="S48" s="10"/>
      <c r="T48" s="10"/>
      <c r="U48" s="10"/>
      <c r="V48" s="10"/>
      <c r="X48" s="10">
        <f t="shared" si="151"/>
        <v>0.44162995594713655</v>
      </c>
      <c r="Y48" s="10">
        <f t="shared" si="151"/>
        <v>0.42645569620253165</v>
      </c>
      <c r="Z48" s="10">
        <f t="shared" si="151"/>
        <v>0.42279117613441536</v>
      </c>
      <c r="AA48" s="10">
        <f t="shared" si="151"/>
        <v>0.43277929728592468</v>
      </c>
      <c r="AB48" s="10">
        <f t="shared" si="151"/>
        <v>0.44733217007989712</v>
      </c>
      <c r="AC48" s="10">
        <f t="shared" si="151"/>
        <v>0.45912104100171863</v>
      </c>
      <c r="AD48" s="10">
        <f t="shared" ref="AD48:AN48" si="161">(AD18-AD21)/AD18</f>
        <v>0.41989496917573638</v>
      </c>
      <c r="AE48" s="10">
        <f t="shared" si="161"/>
        <v>0.47</v>
      </c>
      <c r="AF48" s="10">
        <f t="shared" si="161"/>
        <v>0.47</v>
      </c>
      <c r="AG48" s="10">
        <f t="shared" si="161"/>
        <v>0.47</v>
      </c>
      <c r="AH48" s="10">
        <f t="shared" si="161"/>
        <v>0.46999999999999992</v>
      </c>
      <c r="AI48" s="10">
        <f t="shared" si="161"/>
        <v>0.47000000000000003</v>
      </c>
      <c r="AJ48" s="10">
        <f t="shared" si="161"/>
        <v>0.47000000000000003</v>
      </c>
      <c r="AK48" s="10">
        <f t="shared" si="161"/>
        <v>0.46999999999999992</v>
      </c>
      <c r="AL48" s="10">
        <f t="shared" si="161"/>
        <v>0.47000000000000003</v>
      </c>
      <c r="AM48" s="10">
        <f t="shared" si="161"/>
        <v>0.47</v>
      </c>
      <c r="AN48" s="10">
        <f t="shared" si="161"/>
        <v>0.46999999999999992</v>
      </c>
      <c r="AP48" s="1" t="s">
        <v>60</v>
      </c>
      <c r="AQ48" s="6">
        <f>Main!D8</f>
        <v>-21650</v>
      </c>
    </row>
    <row r="49" spans="2:43" x14ac:dyDescent="0.3">
      <c r="B49" s="1" t="s">
        <v>52</v>
      </c>
      <c r="C49" s="10">
        <f t="shared" ref="C49" si="162">C23/C19</f>
        <v>0.36437440305635149</v>
      </c>
      <c r="D49" s="10">
        <f t="shared" ref="D49" si="163">D23/D19</f>
        <v>0.36780967273539594</v>
      </c>
      <c r="G49" s="10">
        <f t="shared" ref="G49" si="164">G23/G19</f>
        <v>0.37973826714801445</v>
      </c>
      <c r="H49" s="10">
        <f t="shared" ref="H49:I49" si="165">H23/H19</f>
        <v>0.38486770172753115</v>
      </c>
      <c r="I49" s="10">
        <f t="shared" si="165"/>
        <v>0.38449848024316108</v>
      </c>
      <c r="J49" s="10">
        <f t="shared" ref="J49:K49" si="166">J23/J19</f>
        <v>0.34311440677966104</v>
      </c>
      <c r="K49" s="10">
        <f t="shared" si="166"/>
        <v>0.3868204283360791</v>
      </c>
      <c r="L49" s="10">
        <f t="shared" ref="L49:M49" si="167">L23/L19</f>
        <v>0.38853503184713378</v>
      </c>
      <c r="M49" s="10">
        <f t="shared" si="167"/>
        <v>0.38538240131578949</v>
      </c>
      <c r="N49" s="10">
        <f t="shared" ref="N49" si="168">N23/N19</f>
        <v>0.36379857256145914</v>
      </c>
      <c r="O49" s="10">
        <f t="shared" ref="O49:P49" si="169">O23/O19</f>
        <v>0.38535939727143148</v>
      </c>
      <c r="P49" s="10">
        <f t="shared" si="169"/>
        <v>0.3886205564142195</v>
      </c>
      <c r="Q49" s="10">
        <f t="shared" ref="Q49:R49" si="170">Q23/Q19</f>
        <v>0.3407955418908532</v>
      </c>
      <c r="R49" s="10">
        <f t="shared" si="170"/>
        <v>0.3556056568969051</v>
      </c>
      <c r="S49" s="10"/>
      <c r="T49" s="10"/>
      <c r="U49" s="10"/>
      <c r="V49" s="10"/>
      <c r="X49" s="10">
        <f t="shared" ref="X49:AC49" si="171">X23/X19</f>
        <v>0.3369745838895094</v>
      </c>
      <c r="Y49" s="10">
        <f t="shared" si="171"/>
        <v>0.32074026411741274</v>
      </c>
      <c r="Z49" s="10">
        <f t="shared" si="171"/>
        <v>0.31978367062107466</v>
      </c>
      <c r="AA49" s="10">
        <f t="shared" si="171"/>
        <v>0.36990356961597021</v>
      </c>
      <c r="AB49" s="10">
        <f t="shared" si="171"/>
        <v>0.3727838088483989</v>
      </c>
      <c r="AC49" s="10">
        <f t="shared" si="171"/>
        <v>0.38085095329627511</v>
      </c>
      <c r="AD49" s="10">
        <f t="shared" ref="AD49:AN49" si="172">AD23/AD19</f>
        <v>0.36750123946455132</v>
      </c>
      <c r="AE49" s="10">
        <f t="shared" si="172"/>
        <v>0.3823418443232523</v>
      </c>
      <c r="AF49" s="10">
        <f t="shared" si="172"/>
        <v>0.38234184432325236</v>
      </c>
      <c r="AG49" s="10">
        <f t="shared" si="172"/>
        <v>0.38234184432325236</v>
      </c>
      <c r="AH49" s="10">
        <f t="shared" si="172"/>
        <v>0.3823418443232523</v>
      </c>
      <c r="AI49" s="10">
        <f t="shared" si="172"/>
        <v>0.3826208634632477</v>
      </c>
      <c r="AJ49" s="10">
        <f t="shared" si="172"/>
        <v>0.38290358428900223</v>
      </c>
      <c r="AK49" s="10">
        <f t="shared" si="172"/>
        <v>0.38318725359462019</v>
      </c>
      <c r="AL49" s="10">
        <f t="shared" si="172"/>
        <v>0.38347186232461689</v>
      </c>
      <c r="AM49" s="10">
        <f t="shared" si="172"/>
        <v>0.38375740127194535</v>
      </c>
      <c r="AN49" s="10">
        <f t="shared" si="172"/>
        <v>0.38404386107869076</v>
      </c>
      <c r="AP49" s="1" t="s">
        <v>61</v>
      </c>
      <c r="AQ49" s="6">
        <f>AQ47+AQ48</f>
        <v>99718.880935912253</v>
      </c>
    </row>
    <row r="50" spans="2:43" x14ac:dyDescent="0.3">
      <c r="B50" s="1" t="s">
        <v>54</v>
      </c>
      <c r="C50" s="10"/>
      <c r="D50" s="10"/>
      <c r="G50" s="10">
        <f>G24/C24-1</f>
        <v>2.0000000000000018E-2</v>
      </c>
      <c r="H50" s="10">
        <f t="shared" ref="H50:O50" si="173">H24/D24-1</f>
        <v>-2.8497409326424861E-2</v>
      </c>
      <c r="I50" s="10"/>
      <c r="J50" s="10"/>
      <c r="K50" s="10">
        <f t="shared" si="173"/>
        <v>8.4033613445377853E-3</v>
      </c>
      <c r="L50" s="10">
        <f t="shared" si="173"/>
        <v>1.8666666666666609E-2</v>
      </c>
      <c r="M50" s="10">
        <f t="shared" si="173"/>
        <v>1.098901098901095E-2</v>
      </c>
      <c r="N50" s="10">
        <f t="shared" si="173"/>
        <v>0.18333333333333335</v>
      </c>
      <c r="O50" s="10">
        <f t="shared" si="173"/>
        <v>0.21944444444444455</v>
      </c>
      <c r="P50" s="10">
        <f>P24/L24-1</f>
        <v>0.25916230366492155</v>
      </c>
      <c r="Q50" s="10">
        <f t="shared" ref="Q50:R51" si="174">Q24/M24-1</f>
        <v>0.35054347826086962</v>
      </c>
      <c r="R50" s="10">
        <f t="shared" si="174"/>
        <v>9.1549295774647987E-2</v>
      </c>
      <c r="S50" s="10"/>
      <c r="T50" s="10"/>
      <c r="U50" s="10"/>
      <c r="V50" s="10"/>
      <c r="X50" s="10"/>
      <c r="Y50" s="10"/>
      <c r="Z50" s="10"/>
      <c r="AA50" s="10"/>
      <c r="AB50" s="10">
        <f>AB24/AA24-1</f>
        <v>-1.4884979702300405E-2</v>
      </c>
      <c r="AC50" s="10">
        <f>AC24/AB24-1</f>
        <v>5.4945054945054972E-2</v>
      </c>
      <c r="AD50" s="10">
        <f t="shared" ref="AD50:AN50" si="175">AD24/AC24-1</f>
        <v>0.22526041666666674</v>
      </c>
      <c r="AE50" s="10">
        <f t="shared" si="175"/>
        <v>0.12000000000000011</v>
      </c>
      <c r="AF50" s="10">
        <f t="shared" si="175"/>
        <v>7.0000000000000062E-2</v>
      </c>
      <c r="AG50" s="10">
        <f t="shared" si="175"/>
        <v>3.0000000000000027E-2</v>
      </c>
      <c r="AH50" s="10">
        <f t="shared" si="175"/>
        <v>2.0000000000000018E-2</v>
      </c>
      <c r="AI50" s="10">
        <f t="shared" si="175"/>
        <v>2.0000000000000018E-2</v>
      </c>
      <c r="AJ50" s="10">
        <f t="shared" si="175"/>
        <v>2.0000000000000018E-2</v>
      </c>
      <c r="AK50" s="10">
        <f t="shared" si="175"/>
        <v>2.0000000000000018E-2</v>
      </c>
      <c r="AL50" s="10">
        <f t="shared" si="175"/>
        <v>2.0000000000000018E-2</v>
      </c>
      <c r="AM50" s="10">
        <f t="shared" si="175"/>
        <v>2.0000000000000018E-2</v>
      </c>
      <c r="AN50" s="10">
        <f t="shared" si="175"/>
        <v>2.0000000000000018E-2</v>
      </c>
      <c r="AP50" s="1" t="s">
        <v>62</v>
      </c>
      <c r="AQ50" s="5">
        <f>AQ49/AN36</f>
        <v>156.98816268248149</v>
      </c>
    </row>
    <row r="51" spans="2:43" x14ac:dyDescent="0.3">
      <c r="B51" s="1" t="s">
        <v>53</v>
      </c>
      <c r="C51" s="10"/>
      <c r="D51" s="10"/>
      <c r="G51" s="10">
        <f t="shared" ref="G51:P51" si="176">G25/C25-1</f>
        <v>-7.9664570230607912E-2</v>
      </c>
      <c r="H51" s="10">
        <f t="shared" si="176"/>
        <v>-3.3690658499234249E-2</v>
      </c>
      <c r="I51" s="10"/>
      <c r="J51" s="10"/>
      <c r="K51" s="10">
        <f t="shared" si="176"/>
        <v>-1.1389521640091105E-2</v>
      </c>
      <c r="L51" s="10">
        <f t="shared" si="176"/>
        <v>7.844690966719492E-2</v>
      </c>
      <c r="M51" s="10">
        <f t="shared" si="176"/>
        <v>0.11661341853035134</v>
      </c>
      <c r="N51" s="10">
        <f t="shared" si="176"/>
        <v>8.4104938271605034E-2</v>
      </c>
      <c r="O51" s="10">
        <f t="shared" si="176"/>
        <v>4.5314900153609727E-2</v>
      </c>
      <c r="P51" s="10">
        <f t="shared" si="176"/>
        <v>4.9228508449669306E-2</v>
      </c>
      <c r="Q51" s="10">
        <f t="shared" si="174"/>
        <v>-7.2961373390557971E-2</v>
      </c>
      <c r="R51" s="10">
        <f t="shared" si="174"/>
        <v>6.8327402135231363E-2</v>
      </c>
      <c r="S51" s="10"/>
      <c r="T51" s="10"/>
      <c r="U51" s="10"/>
      <c r="V51" s="10"/>
      <c r="X51" s="10"/>
      <c r="Y51" s="10">
        <f t="shared" ref="Y51:AA51" si="177">Y25/X25-1</f>
        <v>-0.13535060699402068</v>
      </c>
      <c r="Z51" s="10">
        <f t="shared" si="177"/>
        <v>5.4484492875104262E-3</v>
      </c>
      <c r="AA51" s="10">
        <f t="shared" si="177"/>
        <v>8.6702792830345876E-2</v>
      </c>
      <c r="AB51" s="10">
        <f>AB25/AA25-1</f>
        <v>-1.6685845799769838E-2</v>
      </c>
      <c r="AC51" s="10">
        <f>AC25/AB25-1</f>
        <v>6.6120538326506662E-2</v>
      </c>
      <c r="AD51" s="10">
        <f t="shared" ref="AD51:AN51" si="178">AD25/AC25-1</f>
        <v>2.1953896816685026E-2</v>
      </c>
      <c r="AE51" s="10">
        <f t="shared" si="178"/>
        <v>3.0000000000000027E-2</v>
      </c>
      <c r="AF51" s="10">
        <f t="shared" si="178"/>
        <v>2.0000000000000018E-2</v>
      </c>
      <c r="AG51" s="10">
        <f t="shared" si="178"/>
        <v>1.0000000000000009E-2</v>
      </c>
      <c r="AH51" s="10">
        <f t="shared" si="178"/>
        <v>1.0000000000000009E-2</v>
      </c>
      <c r="AI51" s="10">
        <f t="shared" si="178"/>
        <v>1.0000000000000009E-2</v>
      </c>
      <c r="AJ51" s="10">
        <f t="shared" si="178"/>
        <v>1.0000000000000009E-2</v>
      </c>
      <c r="AK51" s="10">
        <f t="shared" si="178"/>
        <v>1.0000000000000009E-2</v>
      </c>
      <c r="AL51" s="10">
        <f t="shared" si="178"/>
        <v>1.0000000000000009E-2</v>
      </c>
      <c r="AM51" s="10">
        <f t="shared" si="178"/>
        <v>1.0000000000000009E-2</v>
      </c>
      <c r="AN51" s="10">
        <f t="shared" si="178"/>
        <v>1.0000000000000009E-2</v>
      </c>
      <c r="AP51" s="1" t="s">
        <v>63</v>
      </c>
      <c r="AQ51" s="5">
        <f>Main!D3</f>
        <v>241.38</v>
      </c>
    </row>
    <row r="52" spans="2:43" x14ac:dyDescent="0.3">
      <c r="B52" s="1" t="s">
        <v>55</v>
      </c>
      <c r="C52" s="10">
        <f t="shared" ref="C52" si="179">C28/C19</f>
        <v>0.15174307545367718</v>
      </c>
      <c r="D52" s="10">
        <f t="shared" ref="D52" si="180">D28/D19</f>
        <v>0.17882274098067688</v>
      </c>
      <c r="G52" s="10">
        <f t="shared" ref="G52" si="181">G28/G19</f>
        <v>0.19088447653429602</v>
      </c>
      <c r="H52" s="10">
        <f t="shared" ref="H52:I52" si="182">H28/H19</f>
        <v>0.20588235294117646</v>
      </c>
      <c r="I52" s="10">
        <f t="shared" si="182"/>
        <v>0.20907511940946591</v>
      </c>
      <c r="J52" s="10">
        <f t="shared" ref="J52:K52" si="183">J28/J19</f>
        <v>0.16769067796610168</v>
      </c>
      <c r="K52" s="10">
        <f t="shared" si="183"/>
        <v>0.2042833607907743</v>
      </c>
      <c r="L52" s="10">
        <f t="shared" ref="L52:M52" si="184">L28/L19</f>
        <v>0.20653649368278165</v>
      </c>
      <c r="M52" s="10">
        <f t="shared" si="184"/>
        <v>0.19099506578947367</v>
      </c>
      <c r="N52" s="10">
        <f t="shared" ref="N52" si="185">N28/N19</f>
        <v>0.17297779540047581</v>
      </c>
      <c r="O52" s="10">
        <f t="shared" ref="O52:P52" si="186">O28/O19</f>
        <v>0.20057014864589698</v>
      </c>
      <c r="P52" s="10">
        <f t="shared" si="186"/>
        <v>0.20421174652241114</v>
      </c>
      <c r="Q52" s="10">
        <f t="shared" ref="Q52:R52" si="187">Q28/Q19</f>
        <v>0.16852421214450422</v>
      </c>
      <c r="R52" s="10">
        <f t="shared" si="187"/>
        <v>0.10207009633121542</v>
      </c>
      <c r="S52" s="10"/>
      <c r="T52" s="10"/>
      <c r="U52" s="10"/>
      <c r="V52" s="10"/>
      <c r="X52" s="10">
        <f t="shared" ref="X52:AC52" si="188">X28/X19</f>
        <v>0.18662998174834508</v>
      </c>
      <c r="Y52" s="10">
        <f t="shared" si="188"/>
        <v>0.17452584489996018</v>
      </c>
      <c r="Z52" s="10">
        <f t="shared" si="188"/>
        <v>0.18027448243777622</v>
      </c>
      <c r="AA52" s="10">
        <f t="shared" si="188"/>
        <v>0.18121581232729939</v>
      </c>
      <c r="AB52" s="10">
        <f t="shared" si="188"/>
        <v>0.19322459222082811</v>
      </c>
      <c r="AC52" s="10">
        <f t="shared" si="188"/>
        <v>0.19328276793599666</v>
      </c>
      <c r="AD52" s="10">
        <f t="shared" ref="AD52:AN52" si="189">AD28/AD19</f>
        <v>0.16941001487357463</v>
      </c>
      <c r="AE52" s="10">
        <f t="shared" si="189"/>
        <v>0.19849370445552422</v>
      </c>
      <c r="AF52" s="10">
        <f t="shared" si="189"/>
        <v>0.20139916527129464</v>
      </c>
      <c r="AG52" s="10">
        <f t="shared" si="189"/>
        <v>0.20565264362737726</v>
      </c>
      <c r="AH52" s="10">
        <f t="shared" si="189"/>
        <v>0.20860049089272389</v>
      </c>
      <c r="AI52" s="10">
        <f t="shared" si="189"/>
        <v>0.21064898639207333</v>
      </c>
      <c r="AJ52" s="10">
        <f t="shared" si="189"/>
        <v>0.21100346594470379</v>
      </c>
      <c r="AK52" s="10">
        <f t="shared" si="189"/>
        <v>0.21135913471541459</v>
      </c>
      <c r="AL52" s="10">
        <f t="shared" si="189"/>
        <v>0.211715981350305</v>
      </c>
      <c r="AM52" s="10">
        <f t="shared" si="189"/>
        <v>0.21207399430544346</v>
      </c>
      <c r="AN52" s="10">
        <f t="shared" si="189"/>
        <v>0.21243316184773797</v>
      </c>
      <c r="AP52" s="2" t="s">
        <v>64</v>
      </c>
      <c r="AQ52" s="11">
        <f>AQ50/AQ51-1</f>
        <v>-0.34962232710878494</v>
      </c>
    </row>
    <row r="53" spans="2:43" x14ac:dyDescent="0.3">
      <c r="B53" s="1" t="s">
        <v>28</v>
      </c>
      <c r="C53" s="10">
        <f>C33/C32</f>
        <v>0.24651162790697675</v>
      </c>
      <c r="D53" s="10">
        <f>D33/D32</f>
        <v>0.25880281690140844</v>
      </c>
      <c r="G53" s="10">
        <f t="shared" ref="G53:P53" si="190">G33/G32</f>
        <v>0.20987654320987653</v>
      </c>
      <c r="H53" s="10">
        <f t="shared" si="190"/>
        <v>0.21165966386554622</v>
      </c>
      <c r="I53" s="10">
        <f t="shared" si="190"/>
        <v>0.22979156075241486</v>
      </c>
      <c r="J53" s="10">
        <f t="shared" si="190"/>
        <v>0.17131474103585656</v>
      </c>
      <c r="K53" s="10">
        <f t="shared" si="190"/>
        <v>0.21165152324959915</v>
      </c>
      <c r="L53" s="10">
        <f t="shared" si="190"/>
        <v>0.20972644376899696</v>
      </c>
      <c r="M53" s="10">
        <f t="shared" si="190"/>
        <v>0.22423245614035087</v>
      </c>
      <c r="N53" s="10">
        <f t="shared" si="190"/>
        <v>0.16450777202072539</v>
      </c>
      <c r="O53" s="10">
        <f t="shared" si="190"/>
        <v>0.2213375796178344</v>
      </c>
      <c r="P53" s="10">
        <f t="shared" si="190"/>
        <v>0.16141101015499731</v>
      </c>
      <c r="Q53" s="10">
        <f t="shared" ref="Q53:R53" si="191">Q33/Q32</f>
        <v>0.16336633663366337</v>
      </c>
      <c r="R53" s="10">
        <f t="shared" si="191"/>
        <v>0.50967741935483868</v>
      </c>
      <c r="S53" s="10"/>
      <c r="T53" s="10"/>
      <c r="U53" s="10"/>
      <c r="V53" s="10"/>
      <c r="X53" s="10">
        <f t="shared" ref="X53:AB53" si="192">X33/X32</f>
        <v>0.1758169069982802</v>
      </c>
      <c r="Y53" s="10">
        <f t="shared" si="192"/>
        <v>0.19078509647371922</v>
      </c>
      <c r="Z53" s="10">
        <f t="shared" si="192"/>
        <v>0.22460262612301313</v>
      </c>
      <c r="AA53" s="10">
        <f t="shared" si="192"/>
        <v>0.22135130898259917</v>
      </c>
      <c r="AB53" s="10">
        <f t="shared" si="192"/>
        <v>0.20771057410252827</v>
      </c>
      <c r="AC53" s="10">
        <f>AC33/AC32</f>
        <v>0.20421461250519896</v>
      </c>
      <c r="AD53" s="10">
        <f t="shared" ref="AD53:AN53" si="193">AD33/AD32</f>
        <v>0.21191450659390632</v>
      </c>
      <c r="AE53" s="10">
        <f t="shared" si="193"/>
        <v>0.21</v>
      </c>
      <c r="AF53" s="10">
        <f t="shared" si="193"/>
        <v>0.21</v>
      </c>
      <c r="AG53" s="10">
        <f t="shared" si="193"/>
        <v>0.21</v>
      </c>
      <c r="AH53" s="10">
        <f t="shared" si="193"/>
        <v>0.21</v>
      </c>
      <c r="AI53" s="10">
        <f t="shared" si="193"/>
        <v>0.21</v>
      </c>
      <c r="AJ53" s="10">
        <f t="shared" si="193"/>
        <v>0.21</v>
      </c>
      <c r="AK53" s="10">
        <f t="shared" si="193"/>
        <v>0.21</v>
      </c>
      <c r="AL53" s="10">
        <f t="shared" si="193"/>
        <v>0.21000000000000002</v>
      </c>
      <c r="AM53" s="10">
        <f t="shared" si="193"/>
        <v>0.21</v>
      </c>
      <c r="AN53" s="10">
        <f t="shared" si="193"/>
        <v>0.21</v>
      </c>
      <c r="AP53" s="1" t="s">
        <v>65</v>
      </c>
      <c r="AQ53" s="7" t="s">
        <v>66</v>
      </c>
    </row>
    <row r="54" spans="2:43" x14ac:dyDescent="0.3">
      <c r="B54" s="1" t="s">
        <v>56</v>
      </c>
      <c r="C54" s="10">
        <f t="shared" ref="C54" si="194">C35/C19</f>
        <v>0.13538681948424069</v>
      </c>
      <c r="D54" s="10">
        <f t="shared" ref="D54" si="195">D35/D19</f>
        <v>0.14084664358315649</v>
      </c>
      <c r="G54" s="10">
        <f t="shared" ref="G54" si="196">G35/G19</f>
        <v>0.1572653429602888</v>
      </c>
      <c r="H54" s="10">
        <f t="shared" ref="H54:I54" si="197">H35/H19</f>
        <v>0.16258473649682922</v>
      </c>
      <c r="I54" s="10">
        <f t="shared" si="197"/>
        <v>0.16435084672166739</v>
      </c>
      <c r="J54" s="10">
        <f t="shared" ref="J54:K54" si="198">J35/J19</f>
        <v>0.13379237288135593</v>
      </c>
      <c r="K54" s="10">
        <f t="shared" si="198"/>
        <v>0.16068094453596926</v>
      </c>
      <c r="L54" s="10">
        <f t="shared" ref="L54:M54" si="199">L35/L19</f>
        <v>0.16121958859768196</v>
      </c>
      <c r="M54" s="10">
        <f t="shared" si="199"/>
        <v>0.14525082236842105</v>
      </c>
      <c r="N54" s="10">
        <f t="shared" ref="N54" si="200">N35/N19</f>
        <v>0.12737906423473433</v>
      </c>
      <c r="O54" s="10">
        <f t="shared" ref="O54:P54" si="201">O35/O19</f>
        <v>0.14752596212583996</v>
      </c>
      <c r="P54" s="10">
        <f t="shared" si="201"/>
        <v>0.151661514683153</v>
      </c>
      <c r="Q54" s="10">
        <f t="shared" ref="Q54:R54" si="202">Q35/Q19</f>
        <v>0.17534588777863183</v>
      </c>
      <c r="R54" s="10">
        <f t="shared" si="202"/>
        <v>3.0231604837056773E-2</v>
      </c>
      <c r="S54" s="10"/>
      <c r="T54" s="10"/>
      <c r="U54" s="10"/>
      <c r="V54" s="10"/>
      <c r="X54" s="10">
        <f t="shared" ref="X54:AC54" si="203">X35/X19</f>
        <v>0.16734315835353727</v>
      </c>
      <c r="Y54" s="10">
        <f t="shared" si="203"/>
        <v>0.14642889971504733</v>
      </c>
      <c r="Z54" s="10">
        <f t="shared" si="203"/>
        <v>0.16114212607583159</v>
      </c>
      <c r="AA54" s="10">
        <f t="shared" si="203"/>
        <v>0.14002142897422884</v>
      </c>
      <c r="AB54" s="10">
        <f t="shared" si="203"/>
        <v>0.15432873274780426</v>
      </c>
      <c r="AC54" s="10">
        <f t="shared" si="203"/>
        <v>0.1481895163385111</v>
      </c>
      <c r="AD54" s="10">
        <f t="shared" ref="AD54:AN54" si="204">AD35/AD19</f>
        <v>0.12739216658403571</v>
      </c>
      <c r="AE54" s="10">
        <f t="shared" si="204"/>
        <v>0.1521389827503952</v>
      </c>
      <c r="AF54" s="10">
        <f t="shared" si="204"/>
        <v>0.15437067228423632</v>
      </c>
      <c r="AG54" s="10">
        <f t="shared" si="204"/>
        <v>0.15763057367835936</v>
      </c>
      <c r="AH54" s="10">
        <f t="shared" si="204"/>
        <v>0.15981863355139028</v>
      </c>
      <c r="AI54" s="10">
        <f t="shared" si="204"/>
        <v>0.16126753320046613</v>
      </c>
      <c r="AJ54" s="10">
        <f t="shared" si="204"/>
        <v>0.16132879173516637</v>
      </c>
      <c r="AK54" s="10">
        <f t="shared" si="204"/>
        <v>0.16139025578174029</v>
      </c>
      <c r="AL54" s="10">
        <f t="shared" si="204"/>
        <v>0.16145192337809067</v>
      </c>
      <c r="AM54" s="10">
        <f t="shared" si="204"/>
        <v>0.16151379252928066</v>
      </c>
      <c r="AN54" s="10">
        <f t="shared" si="204"/>
        <v>0.16157586120768425</v>
      </c>
    </row>
    <row r="58" spans="2:43" s="12" customFormat="1" x14ac:dyDescent="0.3">
      <c r="B58" s="12" t="s">
        <v>67</v>
      </c>
      <c r="N58" s="14">
        <v>75196</v>
      </c>
      <c r="O58" s="14"/>
      <c r="P58" s="14">
        <v>78419</v>
      </c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>
        <v>80917</v>
      </c>
    </row>
    <row r="60" spans="2:43" x14ac:dyDescent="0.3">
      <c r="B60" s="1" t="s">
        <v>68</v>
      </c>
      <c r="P60" s="13"/>
      <c r="AD60" s="13">
        <f>Main!$D$9/Model!AD58</f>
        <v>2.1623957388435064</v>
      </c>
    </row>
    <row r="61" spans="2:43" x14ac:dyDescent="0.3">
      <c r="B61" s="1" t="s">
        <v>69</v>
      </c>
      <c r="P61" s="10"/>
      <c r="AD61" s="10">
        <f>AD58/Main!$D$9-1</f>
        <v>-0.53754995811505779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2025-04-23T18:31:42Z</dcterms:created>
  <dcterms:modified xsi:type="dcterms:W3CDTF">2026-02-14T12:50:35Z</dcterms:modified>
</cp:coreProperties>
</file>