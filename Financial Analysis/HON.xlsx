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AB9ABBA-2B64-41BB-A920-7934BF52CFB7}" xr6:coauthVersionLast="47" xr6:coauthVersionMax="47" xr10:uidLastSave="{00000000-0000-0000-0000-000000000000}"/>
  <bookViews>
    <workbookView xWindow="-108" yWindow="-108" windowWidth="23256" windowHeight="12576" activeTab="1" xr2:uid="{F30574C2-14C5-4405-B92F-D72ACFF190E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8" i="2" l="1"/>
  <c r="Q8" i="2"/>
  <c r="Q41" i="2"/>
  <c r="Q40" i="2"/>
  <c r="Q39" i="2"/>
  <c r="Q38" i="2"/>
  <c r="M14" i="2"/>
  <c r="Q14" i="2"/>
  <c r="Q18" i="2"/>
  <c r="D7" i="1"/>
  <c r="D6" i="1"/>
  <c r="Z33" i="2"/>
  <c r="Z25" i="2"/>
  <c r="Q50" i="2"/>
  <c r="Q49" i="2"/>
  <c r="Q43" i="2"/>
  <c r="R29" i="2"/>
  <c r="Z29" i="2" s="1"/>
  <c r="Q30" i="2"/>
  <c r="Q26" i="2"/>
  <c r="Q46" i="2"/>
  <c r="G50" i="2"/>
  <c r="G49" i="2"/>
  <c r="P50" i="2"/>
  <c r="O50" i="2"/>
  <c r="M50" i="2"/>
  <c r="L50" i="2"/>
  <c r="K50" i="2"/>
  <c r="H50" i="2"/>
  <c r="O49" i="2"/>
  <c r="M49" i="2"/>
  <c r="L49" i="2"/>
  <c r="K49" i="2"/>
  <c r="H49" i="2"/>
  <c r="C47" i="2"/>
  <c r="C46" i="2"/>
  <c r="D47" i="2"/>
  <c r="D46" i="2"/>
  <c r="J33" i="2"/>
  <c r="J32" i="2"/>
  <c r="J29" i="2"/>
  <c r="J28" i="2"/>
  <c r="J25" i="2"/>
  <c r="J24" i="2"/>
  <c r="J23" i="2"/>
  <c r="J20" i="2"/>
  <c r="J19" i="2"/>
  <c r="J17" i="2"/>
  <c r="J16" i="2"/>
  <c r="J35" i="2"/>
  <c r="G47" i="2"/>
  <c r="G46" i="2"/>
  <c r="G44" i="2"/>
  <c r="G43" i="2"/>
  <c r="H47" i="2"/>
  <c r="H46" i="2"/>
  <c r="H44" i="2"/>
  <c r="H43" i="2"/>
  <c r="C35" i="2"/>
  <c r="C30" i="2"/>
  <c r="C26" i="2"/>
  <c r="C21" i="2"/>
  <c r="C18" i="2"/>
  <c r="G35" i="2"/>
  <c r="G30" i="2"/>
  <c r="G26" i="2"/>
  <c r="G21" i="2"/>
  <c r="G18" i="2"/>
  <c r="D35" i="2"/>
  <c r="D30" i="2"/>
  <c r="D26" i="2"/>
  <c r="D21" i="2"/>
  <c r="D18" i="2"/>
  <c r="H35" i="2"/>
  <c r="H30" i="2"/>
  <c r="H26" i="2"/>
  <c r="H21" i="2"/>
  <c r="H18" i="2"/>
  <c r="L44" i="2"/>
  <c r="K44" i="2"/>
  <c r="L43" i="2"/>
  <c r="K43" i="2"/>
  <c r="J47" i="2" l="1"/>
  <c r="J21" i="2"/>
  <c r="J30" i="2"/>
  <c r="G45" i="2"/>
  <c r="J26" i="2"/>
  <c r="H45" i="2"/>
  <c r="J46" i="2"/>
  <c r="Q44" i="2"/>
  <c r="Q21" i="2"/>
  <c r="Q22" i="2" s="1"/>
  <c r="Q48" i="2" s="1"/>
  <c r="Q47" i="2"/>
  <c r="J18" i="2"/>
  <c r="C22" i="2"/>
  <c r="G22" i="2"/>
  <c r="D22" i="2"/>
  <c r="H22" i="2"/>
  <c r="I47" i="2"/>
  <c r="I46" i="2"/>
  <c r="M47" i="2"/>
  <c r="M46" i="2"/>
  <c r="M44" i="2"/>
  <c r="M43" i="2"/>
  <c r="N33" i="2"/>
  <c r="N32" i="2"/>
  <c r="N29" i="2"/>
  <c r="N28" i="2"/>
  <c r="R28" i="2" s="1"/>
  <c r="Z28" i="2" s="1"/>
  <c r="Z30" i="2" s="1"/>
  <c r="N25" i="2"/>
  <c r="N24" i="2"/>
  <c r="N23" i="2"/>
  <c r="N20" i="2"/>
  <c r="N19" i="2"/>
  <c r="N17" i="2"/>
  <c r="R17" i="2" s="1"/>
  <c r="N16" i="2"/>
  <c r="R16" i="2" s="1"/>
  <c r="N35" i="2"/>
  <c r="I35" i="2"/>
  <c r="I30" i="2"/>
  <c r="I26" i="2"/>
  <c r="I21" i="2"/>
  <c r="I18" i="2"/>
  <c r="M35" i="2"/>
  <c r="M30" i="2"/>
  <c r="M26" i="2"/>
  <c r="M21" i="2"/>
  <c r="M18" i="2"/>
  <c r="Q45" i="2" s="1"/>
  <c r="K47" i="2"/>
  <c r="K46" i="2"/>
  <c r="O47" i="2"/>
  <c r="O46" i="2"/>
  <c r="O44" i="2"/>
  <c r="O43" i="2"/>
  <c r="K35" i="2"/>
  <c r="K30" i="2"/>
  <c r="K26" i="2"/>
  <c r="K21" i="2"/>
  <c r="K18" i="2"/>
  <c r="K45" i="2" s="1"/>
  <c r="O35" i="2"/>
  <c r="O30" i="2"/>
  <c r="O26" i="2"/>
  <c r="O21" i="2"/>
  <c r="O18" i="2"/>
  <c r="AM50" i="2"/>
  <c r="P49" i="2"/>
  <c r="P44" i="2"/>
  <c r="P43" i="2"/>
  <c r="L47" i="2"/>
  <c r="L46" i="2"/>
  <c r="L35" i="2"/>
  <c r="L30" i="2"/>
  <c r="L26" i="2"/>
  <c r="L21" i="2"/>
  <c r="L18" i="2"/>
  <c r="L45" i="2" s="1"/>
  <c r="P35" i="2"/>
  <c r="P47" i="2"/>
  <c r="P46" i="2"/>
  <c r="P30" i="2"/>
  <c r="P26" i="2"/>
  <c r="P21" i="2"/>
  <c r="P18" i="2"/>
  <c r="W50" i="2"/>
  <c r="V50" i="2"/>
  <c r="U50" i="2"/>
  <c r="X50" i="2"/>
  <c r="X49" i="2"/>
  <c r="X47" i="2"/>
  <c r="W47" i="2"/>
  <c r="V47" i="2"/>
  <c r="U47" i="2"/>
  <c r="T47" i="2"/>
  <c r="X46" i="2"/>
  <c r="W46" i="2"/>
  <c r="V46" i="2"/>
  <c r="U46" i="2"/>
  <c r="T46" i="2"/>
  <c r="X44" i="2"/>
  <c r="W44" i="2"/>
  <c r="V44" i="2"/>
  <c r="U44" i="2"/>
  <c r="X43" i="2"/>
  <c r="W43" i="2"/>
  <c r="V43" i="2"/>
  <c r="U43" i="2"/>
  <c r="Y50" i="2"/>
  <c r="Y49" i="2"/>
  <c r="Y47" i="2"/>
  <c r="Y46" i="2"/>
  <c r="Y44" i="2"/>
  <c r="Y43" i="2"/>
  <c r="J22" i="2" l="1"/>
  <c r="J27" i="2" s="1"/>
  <c r="AA28" i="2"/>
  <c r="AB28" i="2" s="1"/>
  <c r="N47" i="2"/>
  <c r="H27" i="2"/>
  <c r="H48" i="2"/>
  <c r="N21" i="2"/>
  <c r="D27" i="2"/>
  <c r="D48" i="2"/>
  <c r="N49" i="2"/>
  <c r="R23" i="2"/>
  <c r="G27" i="2"/>
  <c r="G48" i="2"/>
  <c r="N50" i="2"/>
  <c r="R24" i="2"/>
  <c r="C48" i="2"/>
  <c r="C27" i="2"/>
  <c r="C51" i="2" s="1"/>
  <c r="R30" i="2"/>
  <c r="R19" i="2"/>
  <c r="Z19" i="2" s="1"/>
  <c r="R18" i="2"/>
  <c r="Z16" i="2"/>
  <c r="R43" i="2"/>
  <c r="Q27" i="2"/>
  <c r="Q51" i="2" s="1"/>
  <c r="N46" i="2"/>
  <c r="N44" i="2"/>
  <c r="N43" i="2"/>
  <c r="M45" i="2"/>
  <c r="N30" i="2"/>
  <c r="N26" i="2"/>
  <c r="P45" i="2"/>
  <c r="N18" i="2"/>
  <c r="I22" i="2"/>
  <c r="M22" i="2"/>
  <c r="O45" i="2"/>
  <c r="AA29" i="2"/>
  <c r="AB29" i="2" s="1"/>
  <c r="AC29" i="2" s="1"/>
  <c r="AD29" i="2" s="1"/>
  <c r="AE29" i="2" s="1"/>
  <c r="AF29" i="2" s="1"/>
  <c r="AG29" i="2" s="1"/>
  <c r="AH29" i="2" s="1"/>
  <c r="AI29" i="2" s="1"/>
  <c r="AJ29" i="2" s="1"/>
  <c r="K22" i="2"/>
  <c r="O22" i="2"/>
  <c r="L22" i="2"/>
  <c r="P22" i="2"/>
  <c r="T35" i="2"/>
  <c r="T30" i="2"/>
  <c r="T26" i="2"/>
  <c r="T21" i="2"/>
  <c r="T18" i="2"/>
  <c r="U35" i="2"/>
  <c r="U30" i="2"/>
  <c r="U26" i="2"/>
  <c r="U21" i="2"/>
  <c r="U18" i="2"/>
  <c r="V35" i="2"/>
  <c r="V30" i="2"/>
  <c r="V26" i="2"/>
  <c r="V21" i="2"/>
  <c r="V18" i="2"/>
  <c r="W35" i="2"/>
  <c r="W30" i="2"/>
  <c r="W26" i="2"/>
  <c r="W21" i="2"/>
  <c r="W18" i="2"/>
  <c r="X35" i="2"/>
  <c r="X30" i="2"/>
  <c r="X26" i="2"/>
  <c r="X21" i="2"/>
  <c r="X18" i="2"/>
  <c r="Y35" i="2"/>
  <c r="Y30" i="2"/>
  <c r="Y26" i="2"/>
  <c r="Y21" i="2"/>
  <c r="Y18" i="2"/>
  <c r="D8" i="1"/>
  <c r="AM47" i="2" s="1"/>
  <c r="D5" i="1"/>
  <c r="F3" i="1"/>
  <c r="R46" i="2" l="1"/>
  <c r="J48" i="2"/>
  <c r="C31" i="2"/>
  <c r="C34" i="2" s="1"/>
  <c r="J31" i="2"/>
  <c r="J51" i="2"/>
  <c r="Z24" i="2"/>
  <c r="R50" i="2"/>
  <c r="D31" i="2"/>
  <c r="D51" i="2"/>
  <c r="AA16" i="2"/>
  <c r="AB16" i="2" s="1"/>
  <c r="AC16" i="2" s="1"/>
  <c r="AD16" i="2" s="1"/>
  <c r="AE16" i="2" s="1"/>
  <c r="Z43" i="2"/>
  <c r="R45" i="2"/>
  <c r="H31" i="2"/>
  <c r="H51" i="2"/>
  <c r="C52" i="2"/>
  <c r="G31" i="2"/>
  <c r="G51" i="2"/>
  <c r="R44" i="2"/>
  <c r="R20" i="2"/>
  <c r="Z17" i="2"/>
  <c r="Z18" i="2" s="1"/>
  <c r="Z45" i="2" s="1"/>
  <c r="Z23" i="2"/>
  <c r="R26" i="2"/>
  <c r="R49" i="2"/>
  <c r="Q31" i="2"/>
  <c r="Q34" i="2" s="1"/>
  <c r="Z46" i="2"/>
  <c r="I27" i="2"/>
  <c r="I48" i="2"/>
  <c r="M27" i="2"/>
  <c r="M48" i="2"/>
  <c r="N22" i="2"/>
  <c r="N45" i="2"/>
  <c r="U45" i="2"/>
  <c r="X45" i="2"/>
  <c r="O27" i="2"/>
  <c r="O48" i="2"/>
  <c r="AA30" i="2"/>
  <c r="K27" i="2"/>
  <c r="K48" i="2"/>
  <c r="L27" i="2"/>
  <c r="L48" i="2"/>
  <c r="P27" i="2"/>
  <c r="P48" i="2"/>
  <c r="D9" i="1"/>
  <c r="AB30" i="2"/>
  <c r="AC28" i="2"/>
  <c r="Y22" i="2"/>
  <c r="Y48" i="2" s="1"/>
  <c r="Y45" i="2"/>
  <c r="V45" i="2"/>
  <c r="W45" i="2"/>
  <c r="T22" i="2"/>
  <c r="U22" i="2"/>
  <c r="V22" i="2"/>
  <c r="W22" i="2"/>
  <c r="X22" i="2"/>
  <c r="Z60" i="2" l="1"/>
  <c r="Z59" i="2"/>
  <c r="G34" i="2"/>
  <c r="G52" i="2"/>
  <c r="D34" i="2"/>
  <c r="D52" i="2"/>
  <c r="J34" i="2"/>
  <c r="J52" i="2"/>
  <c r="AA17" i="2"/>
  <c r="Z44" i="2"/>
  <c r="C36" i="2"/>
  <c r="C53" i="2"/>
  <c r="AA23" i="2"/>
  <c r="Z49" i="2"/>
  <c r="Z26" i="2"/>
  <c r="AA43" i="2"/>
  <c r="R21" i="2"/>
  <c r="R22" i="2" s="1"/>
  <c r="R48" i="2" s="1"/>
  <c r="Z20" i="2"/>
  <c r="Z21" i="2" s="1"/>
  <c r="Z22" i="2" s="1"/>
  <c r="Z48" i="2" s="1"/>
  <c r="AA24" i="2"/>
  <c r="Z50" i="2"/>
  <c r="AA19" i="2"/>
  <c r="R47" i="2"/>
  <c r="H34" i="2"/>
  <c r="H52" i="2"/>
  <c r="Q52" i="2"/>
  <c r="Q36" i="2"/>
  <c r="Q53" i="2"/>
  <c r="I31" i="2"/>
  <c r="I51" i="2"/>
  <c r="N27" i="2"/>
  <c r="N48" i="2"/>
  <c r="M31" i="2"/>
  <c r="M51" i="2"/>
  <c r="O31" i="2"/>
  <c r="O51" i="2"/>
  <c r="K31" i="2"/>
  <c r="K51" i="2"/>
  <c r="AB19" i="2"/>
  <c r="AB43" i="2"/>
  <c r="AA46" i="2"/>
  <c r="L51" i="2"/>
  <c r="L31" i="2"/>
  <c r="P51" i="2"/>
  <c r="P31" i="2"/>
  <c r="AC30" i="2"/>
  <c r="AD28" i="2"/>
  <c r="T27" i="2"/>
  <c r="T31" i="2" s="1"/>
  <c r="T48" i="2"/>
  <c r="Y27" i="2"/>
  <c r="Y31" i="2" s="1"/>
  <c r="V27" i="2"/>
  <c r="V31" i="2" s="1"/>
  <c r="V48" i="2"/>
  <c r="W27" i="2"/>
  <c r="W51" i="2" s="1"/>
  <c r="W48" i="2"/>
  <c r="U27" i="2"/>
  <c r="U51" i="2" s="1"/>
  <c r="U48" i="2"/>
  <c r="X27" i="2"/>
  <c r="X51" i="2" s="1"/>
  <c r="X48" i="2"/>
  <c r="Z27" i="2" l="1"/>
  <c r="Z31" i="2" s="1"/>
  <c r="V51" i="2"/>
  <c r="R27" i="2"/>
  <c r="D36" i="2"/>
  <c r="D53" i="2"/>
  <c r="H36" i="2"/>
  <c r="H53" i="2"/>
  <c r="AB24" i="2"/>
  <c r="AA50" i="2"/>
  <c r="AB17" i="2"/>
  <c r="AA20" i="2"/>
  <c r="AA44" i="2"/>
  <c r="AA18" i="2"/>
  <c r="AA45" i="2" s="1"/>
  <c r="J36" i="2"/>
  <c r="J53" i="2"/>
  <c r="AB23" i="2"/>
  <c r="AA26" i="2"/>
  <c r="AA49" i="2"/>
  <c r="Z47" i="2"/>
  <c r="G36" i="2"/>
  <c r="G53" i="2"/>
  <c r="I34" i="2"/>
  <c r="I52" i="2"/>
  <c r="M34" i="2"/>
  <c r="M52" i="2"/>
  <c r="N31" i="2"/>
  <c r="N51" i="2"/>
  <c r="X31" i="2"/>
  <c r="X34" i="2" s="1"/>
  <c r="Y51" i="2"/>
  <c r="W31" i="2"/>
  <c r="W52" i="2" s="1"/>
  <c r="K34" i="2"/>
  <c r="K52" i="2"/>
  <c r="O34" i="2"/>
  <c r="O52" i="2"/>
  <c r="AC43" i="2"/>
  <c r="AC19" i="2"/>
  <c r="AB46" i="2"/>
  <c r="L52" i="2"/>
  <c r="L34" i="2"/>
  <c r="P52" i="2"/>
  <c r="P34" i="2"/>
  <c r="AD30" i="2"/>
  <c r="AE28" i="2"/>
  <c r="T51" i="2"/>
  <c r="U31" i="2"/>
  <c r="U34" i="2" s="1"/>
  <c r="T34" i="2"/>
  <c r="T52" i="2"/>
  <c r="V34" i="2"/>
  <c r="V52" i="2"/>
  <c r="Y34" i="2"/>
  <c r="Y52" i="2"/>
  <c r="W34" i="2" l="1"/>
  <c r="W36" i="2" s="1"/>
  <c r="Z51" i="2"/>
  <c r="AC24" i="2"/>
  <c r="AB50" i="2"/>
  <c r="AC23" i="2"/>
  <c r="AB49" i="2"/>
  <c r="AB26" i="2"/>
  <c r="AC17" i="2"/>
  <c r="AB20" i="2"/>
  <c r="AB44" i="2"/>
  <c r="AB18" i="2"/>
  <c r="AA47" i="2"/>
  <c r="AA21" i="2"/>
  <c r="AA22" i="2" s="1"/>
  <c r="R51" i="2"/>
  <c r="R31" i="2"/>
  <c r="N34" i="2"/>
  <c r="N52" i="2"/>
  <c r="I36" i="2"/>
  <c r="I53" i="2"/>
  <c r="M36" i="2"/>
  <c r="M53" i="2"/>
  <c r="X52" i="2"/>
  <c r="O36" i="2"/>
  <c r="O53" i="2"/>
  <c r="K36" i="2"/>
  <c r="K53" i="2"/>
  <c r="U52" i="2"/>
  <c r="AD43" i="2"/>
  <c r="AD19" i="2"/>
  <c r="AC46" i="2"/>
  <c r="L53" i="2"/>
  <c r="L36" i="2"/>
  <c r="P53" i="2"/>
  <c r="P36" i="2"/>
  <c r="AF28" i="2"/>
  <c r="AE30" i="2"/>
  <c r="T36" i="2"/>
  <c r="T53" i="2"/>
  <c r="V36" i="2"/>
  <c r="V53" i="2"/>
  <c r="U36" i="2"/>
  <c r="U53" i="2"/>
  <c r="X36" i="2"/>
  <c r="X53" i="2"/>
  <c r="Y36" i="2"/>
  <c r="Y53" i="2"/>
  <c r="W53" i="2" l="1"/>
  <c r="AB47" i="2"/>
  <c r="AB21" i="2"/>
  <c r="AB22" i="2" s="1"/>
  <c r="R32" i="2"/>
  <c r="R34" i="2" s="1"/>
  <c r="AD17" i="2"/>
  <c r="AC20" i="2"/>
  <c r="AC44" i="2"/>
  <c r="AC18" i="2"/>
  <c r="AC45" i="2" s="1"/>
  <c r="AA48" i="2"/>
  <c r="AA27" i="2"/>
  <c r="AD23" i="2"/>
  <c r="AC49" i="2"/>
  <c r="AB45" i="2"/>
  <c r="AC26" i="2"/>
  <c r="AD24" i="2"/>
  <c r="AC50" i="2"/>
  <c r="N36" i="2"/>
  <c r="N53" i="2"/>
  <c r="AD46" i="2"/>
  <c r="AE43" i="2"/>
  <c r="AE19" i="2"/>
  <c r="AF16" i="2"/>
  <c r="AG28" i="2"/>
  <c r="AF30" i="2"/>
  <c r="AB48" i="2" l="1"/>
  <c r="AB27" i="2"/>
  <c r="AE17" i="2"/>
  <c r="AD20" i="2"/>
  <c r="AD44" i="2"/>
  <c r="AD18" i="2"/>
  <c r="AD45" i="2" s="1"/>
  <c r="R53" i="2"/>
  <c r="R36" i="2"/>
  <c r="AD50" i="2"/>
  <c r="AE24" i="2"/>
  <c r="AE23" i="2"/>
  <c r="AD49" i="2"/>
  <c r="AD26" i="2"/>
  <c r="R52" i="2"/>
  <c r="Z32" i="2"/>
  <c r="AC47" i="2"/>
  <c r="AC21" i="2"/>
  <c r="AC22" i="2" s="1"/>
  <c r="AA51" i="2"/>
  <c r="AA31" i="2"/>
  <c r="AG16" i="2"/>
  <c r="AF19" i="2"/>
  <c r="AF43" i="2"/>
  <c r="AE46" i="2"/>
  <c r="AH28" i="2"/>
  <c r="AG30" i="2"/>
  <c r="Z52" i="2" l="1"/>
  <c r="Z34" i="2"/>
  <c r="AC48" i="2"/>
  <c r="AC27" i="2"/>
  <c r="AD47" i="2"/>
  <c r="AD21" i="2"/>
  <c r="AD22" i="2" s="1"/>
  <c r="AA32" i="2"/>
  <c r="AA52" i="2" s="1"/>
  <c r="AA34" i="2"/>
  <c r="AF23" i="2"/>
  <c r="AE49" i="2"/>
  <c r="AF17" i="2"/>
  <c r="AE20" i="2"/>
  <c r="AE44" i="2"/>
  <c r="AE18" i="2"/>
  <c r="AE45" i="2" s="1"/>
  <c r="AE26" i="2"/>
  <c r="AE50" i="2"/>
  <c r="AF24" i="2"/>
  <c r="AB31" i="2"/>
  <c r="AB32" i="2" s="1"/>
  <c r="AB52" i="2" s="1"/>
  <c r="AB51" i="2"/>
  <c r="AF46" i="2"/>
  <c r="AH16" i="2"/>
  <c r="AG43" i="2"/>
  <c r="AG19" i="2"/>
  <c r="AH30" i="2"/>
  <c r="AI28" i="2"/>
  <c r="AB34" i="2" l="1"/>
  <c r="AB36" i="2" s="1"/>
  <c r="AA36" i="2"/>
  <c r="AA53" i="2"/>
  <c r="AD27" i="2"/>
  <c r="AD48" i="2"/>
  <c r="AE47" i="2"/>
  <c r="AE21" i="2"/>
  <c r="AE22" i="2" s="1"/>
  <c r="AC31" i="2"/>
  <c r="AC51" i="2"/>
  <c r="AG17" i="2"/>
  <c r="AF44" i="2"/>
  <c r="AF20" i="2"/>
  <c r="AF18" i="2"/>
  <c r="AF45" i="2" s="1"/>
  <c r="Z53" i="2"/>
  <c r="Z36" i="2"/>
  <c r="AF50" i="2"/>
  <c r="AG24" i="2"/>
  <c r="AG23" i="2"/>
  <c r="AF49" i="2"/>
  <c r="AF26" i="2"/>
  <c r="AG46" i="2"/>
  <c r="AI16" i="2"/>
  <c r="AH19" i="2"/>
  <c r="AH43" i="2"/>
  <c r="AI30" i="2"/>
  <c r="AJ28" i="2"/>
  <c r="AJ30" i="2" s="1"/>
  <c r="AB53" i="2" l="1"/>
  <c r="AC32" i="2"/>
  <c r="AC52" i="2" s="1"/>
  <c r="AH17" i="2"/>
  <c r="AG44" i="2"/>
  <c r="AG20" i="2"/>
  <c r="AG18" i="2"/>
  <c r="AG50" i="2"/>
  <c r="AH24" i="2"/>
  <c r="AE27" i="2"/>
  <c r="AE48" i="2"/>
  <c r="AF47" i="2"/>
  <c r="AF21" i="2"/>
  <c r="AF22" i="2" s="1"/>
  <c r="AH23" i="2"/>
  <c r="AG26" i="2"/>
  <c r="AG49" i="2"/>
  <c r="AD31" i="2"/>
  <c r="AD51" i="2"/>
  <c r="AH46" i="2"/>
  <c r="AJ16" i="2"/>
  <c r="AI19" i="2"/>
  <c r="AI43" i="2"/>
  <c r="AC34" i="2" l="1"/>
  <c r="AC53" i="2" s="1"/>
  <c r="AE31" i="2"/>
  <c r="AE51" i="2"/>
  <c r="AG45" i="2"/>
  <c r="AF48" i="2"/>
  <c r="AF27" i="2"/>
  <c r="AD32" i="2"/>
  <c r="AD52" i="2" s="1"/>
  <c r="AH50" i="2"/>
  <c r="AI24" i="2"/>
  <c r="AI23" i="2"/>
  <c r="AH49" i="2"/>
  <c r="AH26" i="2"/>
  <c r="AG47" i="2"/>
  <c r="AG21" i="2"/>
  <c r="AG22" i="2" s="1"/>
  <c r="AI17" i="2"/>
  <c r="AH44" i="2"/>
  <c r="AH20" i="2"/>
  <c r="AH18" i="2"/>
  <c r="AI46" i="2"/>
  <c r="AJ43" i="2"/>
  <c r="AJ19" i="2"/>
  <c r="AC36" i="2" l="1"/>
  <c r="AD34" i="2"/>
  <c r="AD53" i="2" s="1"/>
  <c r="AG48" i="2"/>
  <c r="AG27" i="2"/>
  <c r="AE32" i="2"/>
  <c r="AE52" i="2" s="1"/>
  <c r="AJ17" i="2"/>
  <c r="AI44" i="2"/>
  <c r="AI20" i="2"/>
  <c r="AI18" i="2"/>
  <c r="AI45" i="2" s="1"/>
  <c r="AH47" i="2"/>
  <c r="AH21" i="2"/>
  <c r="AH22" i="2" s="1"/>
  <c r="AF31" i="2"/>
  <c r="AF51" i="2"/>
  <c r="AH45" i="2"/>
  <c r="AJ23" i="2"/>
  <c r="AI49" i="2"/>
  <c r="AI26" i="2"/>
  <c r="AJ24" i="2"/>
  <c r="AJ50" i="2" s="1"/>
  <c r="AI50" i="2"/>
  <c r="AJ46" i="2"/>
  <c r="AD36" i="2" l="1"/>
  <c r="AJ49" i="2"/>
  <c r="AJ26" i="2"/>
  <c r="AH27" i="2"/>
  <c r="AH48" i="2"/>
  <c r="AG51" i="2"/>
  <c r="AG31" i="2"/>
  <c r="AI47" i="2"/>
  <c r="AI21" i="2"/>
  <c r="AI22" i="2" s="1"/>
  <c r="AJ20" i="2"/>
  <c r="AJ44" i="2"/>
  <c r="AJ18" i="2"/>
  <c r="AJ45" i="2" s="1"/>
  <c r="AF32" i="2"/>
  <c r="AF52" i="2" s="1"/>
  <c r="AE34" i="2"/>
  <c r="AF34" i="2" l="1"/>
  <c r="AF53" i="2" s="1"/>
  <c r="AG32" i="2"/>
  <c r="AG52" i="2" s="1"/>
  <c r="AH31" i="2"/>
  <c r="AH51" i="2"/>
  <c r="AI27" i="2"/>
  <c r="AI48" i="2"/>
  <c r="AE36" i="2"/>
  <c r="AE53" i="2"/>
  <c r="AJ47" i="2"/>
  <c r="AJ21" i="2"/>
  <c r="AJ22" i="2" s="1"/>
  <c r="AF36" i="2" l="1"/>
  <c r="AG34" i="2"/>
  <c r="AG53" i="2" s="1"/>
  <c r="AJ27" i="2"/>
  <c r="AJ48" i="2"/>
  <c r="AH32" i="2"/>
  <c r="AH52" i="2" s="1"/>
  <c r="AI31" i="2"/>
  <c r="AI32" i="2" s="1"/>
  <c r="AI52" i="2" s="1"/>
  <c r="AI51" i="2"/>
  <c r="AG36" i="2" l="1"/>
  <c r="AH34" i="2"/>
  <c r="AH36" i="2" s="1"/>
  <c r="AI34" i="2"/>
  <c r="AI53" i="2" s="1"/>
  <c r="AJ51" i="2"/>
  <c r="AJ31" i="2"/>
  <c r="AI36" i="2" l="1"/>
  <c r="AH53" i="2"/>
  <c r="AJ32" i="2"/>
  <c r="AJ52" i="2" s="1"/>
  <c r="AJ34" i="2" l="1"/>
  <c r="AK34" i="2" s="1"/>
  <c r="AL34" i="2" s="1"/>
  <c r="AM34" i="2" s="1"/>
  <c r="AN34" i="2" s="1"/>
  <c r="AO34" i="2" s="1"/>
  <c r="AP34" i="2" s="1"/>
  <c r="AQ34" i="2" s="1"/>
  <c r="AR34" i="2" s="1"/>
  <c r="AS34" i="2" s="1"/>
  <c r="AT34" i="2" s="1"/>
  <c r="AU34" i="2" s="1"/>
  <c r="AV34" i="2" s="1"/>
  <c r="AW34" i="2" s="1"/>
  <c r="AX34" i="2" s="1"/>
  <c r="AY34" i="2" s="1"/>
  <c r="AZ34" i="2" s="1"/>
  <c r="BA34" i="2" s="1"/>
  <c r="BB34" i="2" s="1"/>
  <c r="BC34" i="2" s="1"/>
  <c r="BD34" i="2" s="1"/>
  <c r="BE34" i="2" s="1"/>
  <c r="BF34" i="2" s="1"/>
  <c r="BG34" i="2" s="1"/>
  <c r="BH34" i="2" s="1"/>
  <c r="BI34" i="2" s="1"/>
  <c r="BJ34" i="2" s="1"/>
  <c r="BK34" i="2" s="1"/>
  <c r="BL34" i="2" s="1"/>
  <c r="BM34" i="2" s="1"/>
  <c r="BN34" i="2" s="1"/>
  <c r="BO34" i="2" s="1"/>
  <c r="BP34" i="2" s="1"/>
  <c r="BQ34" i="2" s="1"/>
  <c r="BR34" i="2" s="1"/>
  <c r="BS34" i="2" s="1"/>
  <c r="BT34" i="2" s="1"/>
  <c r="BU34" i="2" s="1"/>
  <c r="BV34" i="2" s="1"/>
  <c r="BW34" i="2" s="1"/>
  <c r="BX34" i="2" s="1"/>
  <c r="BY34" i="2" s="1"/>
  <c r="BZ34" i="2" s="1"/>
  <c r="CA34" i="2" s="1"/>
  <c r="CB34" i="2" s="1"/>
  <c r="CC34" i="2" s="1"/>
  <c r="CD34" i="2" s="1"/>
  <c r="CE34" i="2" s="1"/>
  <c r="CF34" i="2" s="1"/>
  <c r="CG34" i="2" s="1"/>
  <c r="CH34" i="2" s="1"/>
  <c r="CI34" i="2" s="1"/>
  <c r="CJ34" i="2" s="1"/>
  <c r="CK34" i="2" s="1"/>
  <c r="CL34" i="2" s="1"/>
  <c r="CM34" i="2" s="1"/>
  <c r="CN34" i="2" s="1"/>
  <c r="CO34" i="2" s="1"/>
  <c r="CP34" i="2" s="1"/>
  <c r="CQ34" i="2" s="1"/>
  <c r="CR34" i="2" s="1"/>
  <c r="CS34" i="2" s="1"/>
  <c r="CT34" i="2" s="1"/>
  <c r="CU34" i="2" s="1"/>
  <c r="CV34" i="2" s="1"/>
  <c r="CW34" i="2" s="1"/>
  <c r="CX34" i="2" s="1"/>
  <c r="CY34" i="2" s="1"/>
  <c r="CZ34" i="2" s="1"/>
  <c r="DA34" i="2" s="1"/>
  <c r="DB34" i="2" s="1"/>
  <c r="DC34" i="2" s="1"/>
  <c r="DD34" i="2" s="1"/>
  <c r="DE34" i="2" s="1"/>
  <c r="DF34" i="2" s="1"/>
  <c r="DG34" i="2" s="1"/>
  <c r="DH34" i="2" s="1"/>
  <c r="DI34" i="2" s="1"/>
  <c r="DJ34" i="2" s="1"/>
  <c r="DK34" i="2" s="1"/>
  <c r="DL34" i="2" s="1"/>
  <c r="DM34" i="2" s="1"/>
  <c r="DN34" i="2" s="1"/>
  <c r="DO34" i="2" s="1"/>
  <c r="DP34" i="2" s="1"/>
  <c r="DQ34" i="2" s="1"/>
  <c r="DR34" i="2" s="1"/>
  <c r="DS34" i="2" s="1"/>
  <c r="DT34" i="2" s="1"/>
  <c r="DU34" i="2" s="1"/>
  <c r="DV34" i="2" s="1"/>
  <c r="DW34" i="2" s="1"/>
  <c r="DX34" i="2" s="1"/>
  <c r="DY34" i="2" s="1"/>
  <c r="DZ34" i="2" s="1"/>
  <c r="EA34" i="2" s="1"/>
  <c r="EB34" i="2" s="1"/>
  <c r="EC34" i="2" s="1"/>
  <c r="ED34" i="2" s="1"/>
  <c r="EE34" i="2" s="1"/>
  <c r="EF34" i="2" s="1"/>
  <c r="AM46" i="2" s="1"/>
  <c r="AM48" i="2" s="1"/>
  <c r="AM49" i="2" s="1"/>
  <c r="AM51" i="2" s="1"/>
  <c r="AJ53" i="2" l="1"/>
  <c r="AJ36" i="2"/>
</calcChain>
</file>

<file path=xl/sharedStrings.xml><?xml version="1.0" encoding="utf-8"?>
<sst xmlns="http://schemas.openxmlformats.org/spreadsheetml/2006/main" count="90" uniqueCount="84">
  <si>
    <t>HON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</si>
  <si>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</si>
  <si>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</si>
  <si>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</si>
  <si>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</si>
  <si>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</si>
  <si>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</si>
  <si>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</si>
  <si>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</si>
  <si>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</si>
  <si>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</si>
  <si>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</si>
  <si>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</si>
  <si>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</si>
  <si>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</si>
  <si>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</si>
  <si>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</si>
  <si>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</si>
  <si>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</si>
  <si>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</si>
  <si>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G&amp;A</t>
  </si>
  <si>
    <t>Impairment</t>
  </si>
  <si>
    <t>Other expense</t>
  </si>
  <si>
    <t>Total operating expense</t>
  </si>
  <si>
    <t>Operating profit</t>
  </si>
  <si>
    <t>Total other expense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</si>
  <si>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</si>
  <si>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</si>
  <si>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</si>
  <si>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</si>
  <si>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</si>
  <si>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</si>
  <si>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</si>
  <si>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</si>
  <si>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</si>
  <si>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</si>
  <si>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</si>
  <si>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</si>
  <si>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</si>
  <si>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</si>
  <si>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</si>
  <si>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</si>
  <si>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</si>
  <si>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</si>
  <si>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</si>
  <si>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</si>
  <si>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</si>
  <si>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</si>
  <si>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</si>
  <si>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</si>
  <si>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</si>
  <si>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</si>
  <si>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</si>
  <si>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</si>
  <si>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</si>
  <si>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</si>
  <si>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</si>
  <si>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</si>
  <si>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</si>
  <si>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</si>
  <si>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</si>
  <si>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</si>
  <si>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</si>
  <si>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</si>
  <si>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</si>
  <si>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</si>
  <si>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</si>
  <si>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</si>
  <si>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</si>
  <si>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</si>
  <si>
    <t>Aerospace Technologies</t>
  </si>
  <si>
    <t>Industrial Automation</t>
  </si>
  <si>
    <t>Building Automation</t>
  </si>
  <si>
    <t>Energy Solutions</t>
  </si>
  <si>
    <t>Aerospace Technologies y/y</t>
  </si>
  <si>
    <t>Industrial Automation y/y</t>
  </si>
  <si>
    <t>Building Automation y/y</t>
  </si>
  <si>
    <t>Energy Solutions y/y</t>
  </si>
  <si>
    <t>Aerospace Technologies backlog</t>
  </si>
  <si>
    <t>Industrial Automation backlog</t>
  </si>
  <si>
    <t>Building Automation backlog</t>
  </si>
  <si>
    <t>Energy Solutions backlog</t>
  </si>
  <si>
    <t>Total backlog</t>
  </si>
  <si>
    <t>Other backlog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</si>
</sst>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2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  <xf numFmtId="3" fontId="5" fillId="2" borderId="1" xfId="0" applyNumberFormat="1" applyFont="1" applyFill="1" applyBorder="1"/>
    <xf numFmtId="3" fontId="2" fillId="2" borderId="1" xfId="0" applyNumberFormat="1" applyFont="1" applyFill="1" applyBorder="1" applyAlignment="1">
      <alignment horizontal="right"/>
    </xf>
    <xf numFmtId="0" fontId="1" fillId="2" borderId="1" xfId="0" applyFont="1" applyFill="1" applyBorder="1" applyAlignment="1">
      <alignment horizontal="right"/>
    </xf>
    <xf numFmtId="3" fontId="1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30480</xdr:colOff>
      <xdr:row>0</xdr:row>
      <xdr:rowOff>0</xdr:rowOff>
    </xdr:from>
    <xdr:to>
      <xdr:col>25</xdr:col>
      <xdr:colOff>30480</xdr:colOff>
      <xdr:row>58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11B458E-3914-46AD-6435-C6425FC2E9C6}"/>
            </a:ext>
          </a:extLst>
        </xdr:cNvPr>
        <xdr:cNvCxnSpPr/>
      </xdr:nvCxnSpPr>
      <xdr:spPr>
        <a:xfrm>
          <a:off x="16085820" y="0"/>
          <a:ext cx="0" cy="7604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15240</xdr:colOff>
      <xdr:row>0</xdr:row>
      <xdr:rowOff>7620</xdr:rowOff>
    </xdr:from>
    <xdr:to>
      <xdr:col>17</xdr:col>
      <xdr:colOff>15240</xdr:colOff>
      <xdr:row>57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636523D-D7A8-136C-838A-8D31496AE002}"/>
            </a:ext>
          </a:extLst>
        </xdr:cNvPr>
        <xdr:cNvCxnSpPr/>
      </xdr:nvCxnSpPr>
      <xdr:spPr>
        <a:xfrm>
          <a:off x="11201400" y="7620"/>
          <a:ext cx="0" cy="81457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771BB-2F6F-49C6-9C95-CE13E10764DE}">
  <dimension ref="B2:G9"/>
  <sheetViews>
    <sheetView workbookViewId="0">
      <selection activeCell="F3" sqref="F3"/>
    </sheetView>
  </sheetViews>
  <sheetFormatPr defaultRowHeight="14.4" x14ac:dyDescent="0.3"/>
  <cols>
    <col min="1" max="4" width="8.88671875" style="1"/>
    <col min="5" max="7" width="12.777343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190.02</v>
      </c>
      <c r="E3" s="4">
        <v>45983</v>
      </c>
      <c r="F3" s="4">
        <f ca="1">TODAY()</f>
        <v>46002</v>
      </c>
      <c r="G3" s="4">
        <v>46051</v>
      </c>
    </row>
    <row r="4" spans="2:7" x14ac:dyDescent="0.3">
      <c r="C4" s="1" t="s">
        <v>2</v>
      </c>
      <c r="D4" s="6">
        <v>634.9</v>
      </c>
      <c r="E4" s="3" t="s">
        <v>45</v>
      </c>
    </row>
    <row r="5" spans="2:7" x14ac:dyDescent="0.3">
      <c r="C5" s="1" t="s">
        <v>3</v>
      </c>
      <c r="D5" s="6">
        <f>D3*D4</f>
        <v>120643.698</v>
      </c>
    </row>
    <row r="6" spans="2:7" x14ac:dyDescent="0.3">
      <c r="C6" s="1" t="s">
        <v>4</v>
      </c>
      <c r="D6" s="6">
        <f>12930+429</f>
        <v>13359</v>
      </c>
      <c r="E6" s="3" t="s">
        <v>45</v>
      </c>
    </row>
    <row r="7" spans="2:7" x14ac:dyDescent="0.3">
      <c r="C7" s="1" t="s">
        <v>5</v>
      </c>
      <c r="D7" s="6">
        <f>6873+72+30092</f>
        <v>37037</v>
      </c>
      <c r="E7" s="3" t="s">
        <v>45</v>
      </c>
    </row>
    <row r="8" spans="2:7" x14ac:dyDescent="0.3">
      <c r="C8" s="1" t="s">
        <v>6</v>
      </c>
      <c r="D8" s="6">
        <f>D6-D7</f>
        <v>-23678</v>
      </c>
    </row>
    <row r="9" spans="2:7" x14ac:dyDescent="0.3">
      <c r="C9" s="1" t="s">
        <v>7</v>
      </c>
      <c r="D9" s="6">
        <f>D5-D8</f>
        <v>144321.698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1FB57-91F3-4052-BB69-223C5CE863B6}">
  <dimension ref="B2:EF60"/>
  <sheetViews>
    <sheetView tabSelected="1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Z9" sqref="Z9"/>
    </sheetView>
  </sheetViews>
  <sheetFormatPr defaultRowHeight="14.4" x14ac:dyDescent="0.3"/>
  <cols>
    <col min="1" max="1" width="8.88671875" style="1"/>
    <col min="2" max="2" width="27.77734375" style="1" bestFit="1" customWidth="1"/>
    <col min="3" max="37" width="8.88671875" style="1"/>
    <col min="38" max="38" width="11.88671875" style="1" bestFit="1" customWidth="1"/>
    <col min="39" max="39" width="16.21875" style="1" bestFit="1" customWidth="1"/>
    <col min="40" max="16384" width="8.88671875" style="1"/>
  </cols>
  <sheetData>
    <row r="2" spans="2:36" x14ac:dyDescent="0.3">
      <c r="C2" s="7" t="s">
        <v>32</v>
      </c>
      <c r="D2" s="7" t="s">
        <v>33</v>
      </c>
      <c r="E2" s="7" t="s">
        <v>34</v>
      </c>
      <c r="F2" s="7" t="s">
        <v>35</v>
      </c>
      <c r="G2" s="7" t="s">
        <v>36</v>
      </c>
      <c r="H2" s="7" t="s">
        <v>37</v>
      </c>
      <c r="I2" s="7" t="s">
        <v>38</v>
      </c>
      <c r="J2" s="7" t="s">
        <v>39</v>
      </c>
      <c r="K2" s="7" t="s">
        <v>40</v>
      </c>
      <c r="L2" s="7" t="s">
        <v>41</v>
      </c>
      <c r="M2" s="7" t="s">
        <v>42</v>
      </c>
      <c r="N2" s="7" t="s">
        <v>11</v>
      </c>
      <c r="O2" s="7" t="s">
        <v>43</v>
      </c>
      <c r="P2" s="7" t="s">
        <v>44</v>
      </c>
      <c r="Q2" s="7" t="s">
        <v>45</v>
      </c>
      <c r="R2" s="7" t="s">
        <v>46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78</v>
      </c>
      <c r="C3" s="7"/>
      <c r="D3" s="7"/>
      <c r="E3" s="7"/>
      <c r="F3" s="7"/>
      <c r="G3" s="7"/>
      <c r="H3" s="7"/>
      <c r="I3" s="7"/>
      <c r="J3" s="7"/>
      <c r="K3" s="7"/>
      <c r="L3" s="7"/>
      <c r="M3" s="15"/>
      <c r="N3" s="7"/>
      <c r="O3" s="7"/>
      <c r="P3" s="7"/>
      <c r="Q3" s="15">
        <v>17503</v>
      </c>
      <c r="R3" s="7"/>
      <c r="Z3" s="15">
        <v>17503</v>
      </c>
    </row>
    <row r="4" spans="2:36" x14ac:dyDescent="0.3">
      <c r="B4" s="1" t="s">
        <v>79</v>
      </c>
      <c r="C4" s="7"/>
      <c r="D4" s="7"/>
      <c r="E4" s="7"/>
      <c r="F4" s="7"/>
      <c r="G4" s="7"/>
      <c r="H4" s="7"/>
      <c r="I4" s="7"/>
      <c r="J4" s="7"/>
      <c r="K4" s="7"/>
      <c r="L4" s="7"/>
      <c r="M4" s="15"/>
      <c r="N4" s="7"/>
      <c r="O4" s="7"/>
      <c r="P4" s="7"/>
      <c r="Q4" s="15">
        <v>5435</v>
      </c>
      <c r="R4" s="7"/>
      <c r="Z4" s="15">
        <v>5435</v>
      </c>
    </row>
    <row r="5" spans="2:36" x14ac:dyDescent="0.3">
      <c r="B5" s="1" t="s">
        <v>80</v>
      </c>
      <c r="C5" s="7"/>
      <c r="D5" s="7"/>
      <c r="E5" s="7"/>
      <c r="F5" s="7"/>
      <c r="G5" s="7"/>
      <c r="H5" s="7"/>
      <c r="I5" s="7"/>
      <c r="J5" s="7"/>
      <c r="K5" s="7"/>
      <c r="L5" s="7"/>
      <c r="M5" s="15"/>
      <c r="N5" s="7"/>
      <c r="O5" s="7"/>
      <c r="P5" s="7"/>
      <c r="Q5" s="15">
        <v>9050</v>
      </c>
      <c r="R5" s="7"/>
      <c r="Z5" s="15">
        <v>9050</v>
      </c>
    </row>
    <row r="6" spans="2:36" x14ac:dyDescent="0.3">
      <c r="B6" s="1" t="s">
        <v>81</v>
      </c>
      <c r="C6" s="7"/>
      <c r="D6" s="7"/>
      <c r="E6" s="7"/>
      <c r="F6" s="7"/>
      <c r="G6" s="7"/>
      <c r="H6" s="7"/>
      <c r="I6" s="7"/>
      <c r="J6" s="7"/>
      <c r="K6" s="7"/>
      <c r="L6" s="7"/>
      <c r="M6" s="15"/>
      <c r="N6" s="7"/>
      <c r="O6" s="7"/>
      <c r="P6" s="7"/>
      <c r="Q6" s="15">
        <v>7078</v>
      </c>
      <c r="R6" s="7"/>
      <c r="Z6" s="15">
        <v>7078</v>
      </c>
    </row>
    <row r="7" spans="2:36" x14ac:dyDescent="0.3">
      <c r="B7" s="1" t="s">
        <v>83</v>
      </c>
      <c r="C7" s="7"/>
      <c r="D7" s="7"/>
      <c r="E7" s="7"/>
      <c r="F7" s="7"/>
      <c r="G7" s="7"/>
      <c r="H7" s="7"/>
      <c r="I7" s="7"/>
      <c r="J7" s="7"/>
      <c r="K7" s="7"/>
      <c r="L7" s="7"/>
      <c r="M7" s="15"/>
      <c r="N7" s="7"/>
      <c r="O7" s="7"/>
      <c r="P7" s="7"/>
      <c r="Q7" s="15">
        <v>21</v>
      </c>
      <c r="R7" s="7"/>
      <c r="Z7" s="15">
        <v>21</v>
      </c>
    </row>
    <row r="8" spans="2:36" s="2" customFormat="1" x14ac:dyDescent="0.3">
      <c r="B8" s="2" t="s">
        <v>82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7"/>
      <c r="N8" s="16"/>
      <c r="O8" s="16"/>
      <c r="P8" s="16"/>
      <c r="Q8" s="17">
        <f>SUM(Q3:Q7)</f>
        <v>39087</v>
      </c>
      <c r="R8" s="16"/>
      <c r="Z8" s="17">
        <f>SUM(Z3:Z7)</f>
        <v>39087</v>
      </c>
    </row>
    <row r="9" spans="2:36" x14ac:dyDescent="0.3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</row>
    <row r="10" spans="2:36" x14ac:dyDescent="0.3">
      <c r="B10" s="1" t="s">
        <v>70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15">
        <v>3912</v>
      </c>
      <c r="N10" s="7"/>
      <c r="O10" s="7"/>
      <c r="P10" s="7"/>
      <c r="Q10" s="15">
        <v>4511</v>
      </c>
      <c r="R10" s="7"/>
    </row>
    <row r="11" spans="2:36" x14ac:dyDescent="0.3">
      <c r="B11" s="1" t="s">
        <v>71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15">
        <v>2501</v>
      </c>
      <c r="N11" s="7"/>
      <c r="O11" s="7"/>
      <c r="P11" s="7"/>
      <c r="Q11" s="15">
        <v>2274</v>
      </c>
      <c r="R11" s="7"/>
    </row>
    <row r="12" spans="2:36" x14ac:dyDescent="0.3">
      <c r="B12" s="1" t="s">
        <v>72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15">
        <v>1745</v>
      </c>
      <c r="N12" s="7"/>
      <c r="O12" s="7"/>
      <c r="P12" s="7"/>
      <c r="Q12" s="15">
        <v>1878</v>
      </c>
      <c r="R12" s="7"/>
    </row>
    <row r="13" spans="2:36" x14ac:dyDescent="0.3">
      <c r="B13" s="1" t="s">
        <v>73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15">
        <v>1563</v>
      </c>
      <c r="N13" s="7"/>
      <c r="O13" s="7"/>
      <c r="P13" s="7"/>
      <c r="Q13" s="15">
        <v>1742</v>
      </c>
      <c r="R13" s="7"/>
    </row>
    <row r="14" spans="2:36" s="2" customFormat="1" x14ac:dyDescent="0.3">
      <c r="B14" s="2" t="s">
        <v>14</v>
      </c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7">
        <f>SUM(M10:M13)</f>
        <v>9721</v>
      </c>
      <c r="N14" s="16"/>
      <c r="O14" s="16"/>
      <c r="P14" s="16"/>
      <c r="Q14" s="17">
        <f>SUM(Q10:Q13)</f>
        <v>10405</v>
      </c>
      <c r="R14" s="16"/>
    </row>
    <row r="15" spans="2:36" x14ac:dyDescent="0.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</row>
    <row r="16" spans="2:36" x14ac:dyDescent="0.3">
      <c r="B16" s="1" t="s">
        <v>12</v>
      </c>
      <c r="C16" s="6">
        <v>6132</v>
      </c>
      <c r="D16" s="6">
        <v>6684</v>
      </c>
      <c r="G16" s="6">
        <v>6310</v>
      </c>
      <c r="H16" s="6">
        <v>6441</v>
      </c>
      <c r="I16" s="6">
        <v>6294</v>
      </c>
      <c r="J16" s="6">
        <f>X16-I16-H16-G16</f>
        <v>6728</v>
      </c>
      <c r="K16" s="6">
        <v>6263</v>
      </c>
      <c r="L16" s="6">
        <v>6477</v>
      </c>
      <c r="M16" s="6">
        <v>6590</v>
      </c>
      <c r="N16" s="6">
        <f>Y16-M16-L16-K16</f>
        <v>6949</v>
      </c>
      <c r="O16" s="6">
        <v>6645</v>
      </c>
      <c r="P16" s="6">
        <v>7119</v>
      </c>
      <c r="Q16" s="6">
        <v>7086</v>
      </c>
      <c r="R16" s="6">
        <f>N16*1.04</f>
        <v>7226.96</v>
      </c>
      <c r="T16" s="6">
        <v>27629</v>
      </c>
      <c r="U16" s="6">
        <v>24737</v>
      </c>
      <c r="V16" s="6">
        <v>25643</v>
      </c>
      <c r="W16" s="6">
        <v>25960</v>
      </c>
      <c r="X16" s="6">
        <v>25773</v>
      </c>
      <c r="Y16" s="6">
        <v>26279</v>
      </c>
      <c r="Z16" s="6">
        <f>SUM(O16:R16)</f>
        <v>28076.959999999999</v>
      </c>
      <c r="AA16" s="6">
        <f>Z16*1.06</f>
        <v>29761.577600000001</v>
      </c>
      <c r="AB16" s="6">
        <f>AA16*1.05</f>
        <v>31249.656480000001</v>
      </c>
      <c r="AC16" s="6">
        <f>AB16*1.04</f>
        <v>32499.642739200004</v>
      </c>
      <c r="AD16" s="6">
        <f>AC16*1.03</f>
        <v>33474.632021376005</v>
      </c>
      <c r="AE16" s="6">
        <f t="shared" ref="AE16" si="0">AD16*1.02</f>
        <v>34144.124661803522</v>
      </c>
      <c r="AF16" s="6">
        <f t="shared" ref="AF16:AJ16" si="1">AE16*1.01</f>
        <v>34485.565908421559</v>
      </c>
      <c r="AG16" s="6">
        <f t="shared" si="1"/>
        <v>34830.421567505771</v>
      </c>
      <c r="AH16" s="6">
        <f t="shared" si="1"/>
        <v>35178.725783180831</v>
      </c>
      <c r="AI16" s="6">
        <f t="shared" si="1"/>
        <v>35530.513041012637</v>
      </c>
      <c r="AJ16" s="6">
        <f t="shared" si="1"/>
        <v>35885.818171422761</v>
      </c>
    </row>
    <row r="17" spans="2:36" x14ac:dyDescent="0.3">
      <c r="B17" s="1" t="s">
        <v>13</v>
      </c>
      <c r="C17" s="6">
        <v>2244</v>
      </c>
      <c r="D17" s="6">
        <v>2269</v>
      </c>
      <c r="G17" s="6">
        <v>2554</v>
      </c>
      <c r="H17" s="6">
        <v>2705</v>
      </c>
      <c r="I17" s="6">
        <v>2918</v>
      </c>
      <c r="J17" s="6">
        <f>X17-I17-H17-G17</f>
        <v>2712</v>
      </c>
      <c r="K17" s="6">
        <v>2842</v>
      </c>
      <c r="L17" s="6">
        <v>3100</v>
      </c>
      <c r="M17" s="6">
        <v>3138</v>
      </c>
      <c r="N17" s="6">
        <f>Y17-M17-L17-K17</f>
        <v>3139</v>
      </c>
      <c r="O17" s="6">
        <v>3177</v>
      </c>
      <c r="P17" s="6">
        <v>3233</v>
      </c>
      <c r="Q17" s="6">
        <v>3322</v>
      </c>
      <c r="R17" s="6">
        <f>N17*1.06</f>
        <v>3327.34</v>
      </c>
      <c r="T17" s="6">
        <v>9080</v>
      </c>
      <c r="U17" s="6">
        <v>7900</v>
      </c>
      <c r="V17" s="6">
        <v>8749</v>
      </c>
      <c r="W17" s="6">
        <v>9506</v>
      </c>
      <c r="X17" s="6">
        <v>10889</v>
      </c>
      <c r="Y17" s="6">
        <v>12219</v>
      </c>
      <c r="Z17" s="6">
        <f>SUM(O17:R17)</f>
        <v>13059.34</v>
      </c>
      <c r="AA17" s="6">
        <f>Z17*1.06</f>
        <v>13842.9004</v>
      </c>
      <c r="AB17" s="6">
        <f>AA17*1.05</f>
        <v>14535.04542</v>
      </c>
      <c r="AC17" s="6">
        <f>AB17*1.04</f>
        <v>15116.447236800001</v>
      </c>
      <c r="AD17" s="6">
        <f>AC17*1.03</f>
        <v>15569.940653904001</v>
      </c>
      <c r="AE17" s="6">
        <f>AD17*1.03</f>
        <v>16037.038873521122</v>
      </c>
      <c r="AF17" s="6">
        <f t="shared" ref="AF17:AJ17" si="2">AE17*1.02</f>
        <v>16357.779650991544</v>
      </c>
      <c r="AG17" s="6">
        <f t="shared" si="2"/>
        <v>16684.935244011376</v>
      </c>
      <c r="AH17" s="6">
        <f t="shared" si="2"/>
        <v>17018.633948891606</v>
      </c>
      <c r="AI17" s="6">
        <f t="shared" si="2"/>
        <v>17359.006627869439</v>
      </c>
      <c r="AJ17" s="6">
        <f t="shared" si="2"/>
        <v>17706.18676042683</v>
      </c>
    </row>
    <row r="18" spans="2:36" s="2" customFormat="1" x14ac:dyDescent="0.3">
      <c r="B18" s="2" t="s">
        <v>14</v>
      </c>
      <c r="C18" s="9">
        <f t="shared" ref="C18" si="3">C16+C17</f>
        <v>8376</v>
      </c>
      <c r="D18" s="9">
        <f t="shared" ref="D18" si="4">D16+D17</f>
        <v>8953</v>
      </c>
      <c r="G18" s="9">
        <f t="shared" ref="G18" si="5">G16+G17</f>
        <v>8864</v>
      </c>
      <c r="H18" s="9">
        <f t="shared" ref="H18:I18" si="6">H16+H17</f>
        <v>9146</v>
      </c>
      <c r="I18" s="9">
        <f t="shared" si="6"/>
        <v>9212</v>
      </c>
      <c r="J18" s="9">
        <f t="shared" ref="J18:K18" si="7">J16+J17</f>
        <v>9440</v>
      </c>
      <c r="K18" s="9">
        <f t="shared" si="7"/>
        <v>9105</v>
      </c>
      <c r="L18" s="9">
        <f t="shared" ref="L18:M18" si="8">L16+L17</f>
        <v>9577</v>
      </c>
      <c r="M18" s="9">
        <f t="shared" si="8"/>
        <v>9728</v>
      </c>
      <c r="N18" s="9">
        <f t="shared" ref="N18" si="9">N16+N17</f>
        <v>10088</v>
      </c>
      <c r="O18" s="9">
        <f t="shared" ref="O18:R18" si="10">O16+O17</f>
        <v>9822</v>
      </c>
      <c r="P18" s="9">
        <f t="shared" si="10"/>
        <v>10352</v>
      </c>
      <c r="Q18" s="9">
        <f t="shared" si="10"/>
        <v>10408</v>
      </c>
      <c r="R18" s="9">
        <f t="shared" si="10"/>
        <v>10554.3</v>
      </c>
      <c r="T18" s="9">
        <f t="shared" ref="T18:Z18" si="11">T16+T17</f>
        <v>36709</v>
      </c>
      <c r="U18" s="9">
        <f t="shared" si="11"/>
        <v>32637</v>
      </c>
      <c r="V18" s="9">
        <f t="shared" si="11"/>
        <v>34392</v>
      </c>
      <c r="W18" s="9">
        <f t="shared" si="11"/>
        <v>35466</v>
      </c>
      <c r="X18" s="9">
        <f t="shared" si="11"/>
        <v>36662</v>
      </c>
      <c r="Y18" s="9">
        <f t="shared" si="11"/>
        <v>38498</v>
      </c>
      <c r="Z18" s="9">
        <f t="shared" si="11"/>
        <v>41136.300000000003</v>
      </c>
      <c r="AA18" s="9">
        <f t="shared" ref="AA18:AJ18" si="12">AA16+AA17</f>
        <v>43604.478000000003</v>
      </c>
      <c r="AB18" s="9">
        <f t="shared" si="12"/>
        <v>45784.7019</v>
      </c>
      <c r="AC18" s="9">
        <f t="shared" si="12"/>
        <v>47616.089976000003</v>
      </c>
      <c r="AD18" s="9">
        <f t="shared" si="12"/>
        <v>49044.572675280004</v>
      </c>
      <c r="AE18" s="9">
        <f t="shared" si="12"/>
        <v>50181.163535324646</v>
      </c>
      <c r="AF18" s="9">
        <f t="shared" si="12"/>
        <v>50843.345559413101</v>
      </c>
      <c r="AG18" s="9">
        <f t="shared" si="12"/>
        <v>51515.356811517151</v>
      </c>
      <c r="AH18" s="9">
        <f t="shared" si="12"/>
        <v>52197.359732072437</v>
      </c>
      <c r="AI18" s="9">
        <f t="shared" si="12"/>
        <v>52889.519668882072</v>
      </c>
      <c r="AJ18" s="9">
        <f t="shared" si="12"/>
        <v>53592.004931849588</v>
      </c>
    </row>
    <row r="19" spans="2:36" x14ac:dyDescent="0.3">
      <c r="B19" s="1" t="s">
        <v>15</v>
      </c>
      <c r="C19" s="6">
        <v>4059</v>
      </c>
      <c r="D19" s="6">
        <v>4329</v>
      </c>
      <c r="G19" s="6">
        <v>4068</v>
      </c>
      <c r="H19" s="6">
        <v>4133</v>
      </c>
      <c r="I19" s="6">
        <v>4090</v>
      </c>
      <c r="J19" s="6">
        <f t="shared" ref="J19:J20" si="13">X19-I19-H19-G19</f>
        <v>4686</v>
      </c>
      <c r="K19" s="6">
        <v>4035</v>
      </c>
      <c r="L19" s="6">
        <v>4247</v>
      </c>
      <c r="M19" s="6">
        <v>4166</v>
      </c>
      <c r="N19" s="6">
        <f t="shared" ref="N19:N20" si="14">Y19-M19-L19-K19</f>
        <v>4779</v>
      </c>
      <c r="O19" s="6">
        <v>4251</v>
      </c>
      <c r="P19" s="6">
        <v>4548</v>
      </c>
      <c r="Q19" s="6">
        <v>4734</v>
      </c>
      <c r="R19" s="6">
        <f>R16*0.68</f>
        <v>4914.3328000000001</v>
      </c>
      <c r="T19" s="6">
        <v>19269</v>
      </c>
      <c r="U19" s="6">
        <v>17638</v>
      </c>
      <c r="V19" s="6">
        <v>18344</v>
      </c>
      <c r="W19" s="6">
        <v>16955</v>
      </c>
      <c r="X19" s="6">
        <v>16977</v>
      </c>
      <c r="Y19" s="6">
        <v>17227</v>
      </c>
      <c r="Z19" s="6">
        <f t="shared" ref="Z19:Z20" si="15">SUM(O19:R19)</f>
        <v>18447.3328</v>
      </c>
      <c r="AA19" s="6">
        <f t="shared" ref="AA19:AJ19" si="16">AA16*0.66</f>
        <v>19642.641216</v>
      </c>
      <c r="AB19" s="6">
        <f t="shared" si="16"/>
        <v>20624.773276800002</v>
      </c>
      <c r="AC19" s="6">
        <f t="shared" si="16"/>
        <v>21449.764207872005</v>
      </c>
      <c r="AD19" s="6">
        <f t="shared" si="16"/>
        <v>22093.257134108164</v>
      </c>
      <c r="AE19" s="6">
        <f t="shared" si="16"/>
        <v>22535.122276790327</v>
      </c>
      <c r="AF19" s="6">
        <f t="shared" si="16"/>
        <v>22760.473499558229</v>
      </c>
      <c r="AG19" s="6">
        <f t="shared" si="16"/>
        <v>22988.07823455381</v>
      </c>
      <c r="AH19" s="6">
        <f t="shared" si="16"/>
        <v>23217.959016899349</v>
      </c>
      <c r="AI19" s="6">
        <f t="shared" si="16"/>
        <v>23450.13860706834</v>
      </c>
      <c r="AJ19" s="6">
        <f t="shared" si="16"/>
        <v>23684.639993139022</v>
      </c>
    </row>
    <row r="20" spans="2:36" x14ac:dyDescent="0.3">
      <c r="B20" s="1" t="s">
        <v>16</v>
      </c>
      <c r="C20" s="6">
        <v>1265</v>
      </c>
      <c r="D20" s="6">
        <v>1331</v>
      </c>
      <c r="G20" s="6">
        <v>1430</v>
      </c>
      <c r="H20" s="6">
        <v>1493</v>
      </c>
      <c r="I20" s="6">
        <v>1580</v>
      </c>
      <c r="J20" s="6">
        <f t="shared" si="13"/>
        <v>1515</v>
      </c>
      <c r="K20" s="6">
        <v>1548</v>
      </c>
      <c r="L20" s="6">
        <v>1609</v>
      </c>
      <c r="M20" s="6">
        <v>1813</v>
      </c>
      <c r="N20" s="6">
        <f t="shared" si="14"/>
        <v>1639</v>
      </c>
      <c r="O20" s="6">
        <v>1786</v>
      </c>
      <c r="P20" s="6">
        <v>1781</v>
      </c>
      <c r="Q20" s="6">
        <v>2127</v>
      </c>
      <c r="R20" s="6">
        <f>R17*0.54</f>
        <v>1796.7636000000002</v>
      </c>
      <c r="T20" s="6">
        <v>5070</v>
      </c>
      <c r="U20" s="6">
        <v>4531</v>
      </c>
      <c r="V20" s="6">
        <v>5050</v>
      </c>
      <c r="W20" s="6">
        <v>5392</v>
      </c>
      <c r="X20" s="6">
        <v>6018</v>
      </c>
      <c r="Y20" s="6">
        <v>6609</v>
      </c>
      <c r="Z20" s="6">
        <f t="shared" si="15"/>
        <v>7490.7636000000002</v>
      </c>
      <c r="AA20" s="6">
        <f t="shared" ref="AA20:AJ20" si="17">AA17*0.53</f>
        <v>7336.7372120000009</v>
      </c>
      <c r="AB20" s="6">
        <f t="shared" si="17"/>
        <v>7703.5740726000004</v>
      </c>
      <c r="AC20" s="6">
        <f t="shared" si="17"/>
        <v>8011.7170355040007</v>
      </c>
      <c r="AD20" s="6">
        <f t="shared" si="17"/>
        <v>8252.0685465691204</v>
      </c>
      <c r="AE20" s="6">
        <f t="shared" si="17"/>
        <v>8499.6306029661955</v>
      </c>
      <c r="AF20" s="6">
        <f t="shared" si="17"/>
        <v>8669.6232150255182</v>
      </c>
      <c r="AG20" s="6">
        <f t="shared" si="17"/>
        <v>8843.0156793260303</v>
      </c>
      <c r="AH20" s="6">
        <f t="shared" si="17"/>
        <v>9019.8759929125517</v>
      </c>
      <c r="AI20" s="6">
        <f t="shared" si="17"/>
        <v>9200.2735127708038</v>
      </c>
      <c r="AJ20" s="6">
        <f t="shared" si="17"/>
        <v>9384.2789830262209</v>
      </c>
    </row>
    <row r="21" spans="2:36" x14ac:dyDescent="0.3">
      <c r="B21" s="1" t="s">
        <v>17</v>
      </c>
      <c r="C21" s="6">
        <f t="shared" ref="C21" si="18">C19+C20</f>
        <v>5324</v>
      </c>
      <c r="D21" s="6">
        <f t="shared" ref="D21" si="19">D19+D20</f>
        <v>5660</v>
      </c>
      <c r="G21" s="6">
        <f t="shared" ref="G21" si="20">G19+G20</f>
        <v>5498</v>
      </c>
      <c r="H21" s="6">
        <f t="shared" ref="H21:I21" si="21">H19+H20</f>
        <v>5626</v>
      </c>
      <c r="I21" s="6">
        <f t="shared" si="21"/>
        <v>5670</v>
      </c>
      <c r="J21" s="6">
        <f t="shared" ref="J21:K21" si="22">J19+J20</f>
        <v>6201</v>
      </c>
      <c r="K21" s="6">
        <f t="shared" si="22"/>
        <v>5583</v>
      </c>
      <c r="L21" s="6">
        <f t="shared" ref="L21:M21" si="23">L19+L20</f>
        <v>5856</v>
      </c>
      <c r="M21" s="6">
        <f t="shared" si="23"/>
        <v>5979</v>
      </c>
      <c r="N21" s="6">
        <f t="shared" ref="N21" si="24">N19+N20</f>
        <v>6418</v>
      </c>
      <c r="O21" s="6">
        <f t="shared" ref="O21:P21" si="25">O19+O20</f>
        <v>6037</v>
      </c>
      <c r="P21" s="6">
        <f t="shared" si="25"/>
        <v>6329</v>
      </c>
      <c r="Q21" s="6">
        <f t="shared" ref="Q21:R21" si="26">Q19+Q20</f>
        <v>6861</v>
      </c>
      <c r="R21" s="6">
        <f t="shared" si="26"/>
        <v>6711.0964000000004</v>
      </c>
      <c r="T21" s="6">
        <f t="shared" ref="T21:Y21" si="27">T19+T20</f>
        <v>24339</v>
      </c>
      <c r="U21" s="6">
        <f t="shared" si="27"/>
        <v>22169</v>
      </c>
      <c r="V21" s="6">
        <f t="shared" si="27"/>
        <v>23394</v>
      </c>
      <c r="W21" s="6">
        <f t="shared" si="27"/>
        <v>22347</v>
      </c>
      <c r="X21" s="6">
        <f t="shared" si="27"/>
        <v>22995</v>
      </c>
      <c r="Y21" s="6">
        <f t="shared" si="27"/>
        <v>23836</v>
      </c>
      <c r="Z21" s="6">
        <f t="shared" ref="Z21:AJ21" si="28">Z19+Z20</f>
        <v>25938.096400000002</v>
      </c>
      <c r="AA21" s="6">
        <f t="shared" si="28"/>
        <v>26979.378428</v>
      </c>
      <c r="AB21" s="6">
        <f t="shared" si="28"/>
        <v>28328.347349400003</v>
      </c>
      <c r="AC21" s="6">
        <f t="shared" si="28"/>
        <v>29461.481243376005</v>
      </c>
      <c r="AD21" s="6">
        <f t="shared" si="28"/>
        <v>30345.325680677284</v>
      </c>
      <c r="AE21" s="6">
        <f t="shared" si="28"/>
        <v>31034.752879756525</v>
      </c>
      <c r="AF21" s="6">
        <f t="shared" si="28"/>
        <v>31430.096714583749</v>
      </c>
      <c r="AG21" s="6">
        <f t="shared" si="28"/>
        <v>31831.093913879842</v>
      </c>
      <c r="AH21" s="6">
        <f t="shared" si="28"/>
        <v>32237.835009811901</v>
      </c>
      <c r="AI21" s="6">
        <f t="shared" si="28"/>
        <v>32650.412119839144</v>
      </c>
      <c r="AJ21" s="6">
        <f t="shared" si="28"/>
        <v>33068.918976165245</v>
      </c>
    </row>
    <row r="22" spans="2:36" s="2" customFormat="1" x14ac:dyDescent="0.3">
      <c r="B22" s="2" t="s">
        <v>18</v>
      </c>
      <c r="C22" s="9">
        <f t="shared" ref="C22" si="29">C18-C21</f>
        <v>3052</v>
      </c>
      <c r="D22" s="9">
        <f t="shared" ref="D22" si="30">D18-D21</f>
        <v>3293</v>
      </c>
      <c r="G22" s="9">
        <f t="shared" ref="G22" si="31">G18-G21</f>
        <v>3366</v>
      </c>
      <c r="H22" s="9">
        <f t="shared" ref="H22:I22" si="32">H18-H21</f>
        <v>3520</v>
      </c>
      <c r="I22" s="9">
        <f t="shared" si="32"/>
        <v>3542</v>
      </c>
      <c r="J22" s="9">
        <f t="shared" ref="J22:K22" si="33">J18-J21</f>
        <v>3239</v>
      </c>
      <c r="K22" s="9">
        <f t="shared" si="33"/>
        <v>3522</v>
      </c>
      <c r="L22" s="9">
        <f t="shared" ref="L22:M22" si="34">L18-L21</f>
        <v>3721</v>
      </c>
      <c r="M22" s="9">
        <f t="shared" si="34"/>
        <v>3749</v>
      </c>
      <c r="N22" s="9">
        <f t="shared" ref="N22" si="35">N18-N21</f>
        <v>3670</v>
      </c>
      <c r="O22" s="9">
        <f t="shared" ref="O22:P22" si="36">O18-O21</f>
        <v>3785</v>
      </c>
      <c r="P22" s="9">
        <f t="shared" si="36"/>
        <v>4023</v>
      </c>
      <c r="Q22" s="9">
        <f t="shared" ref="Q22:R22" si="37">Q18-Q21</f>
        <v>3547</v>
      </c>
      <c r="R22" s="9">
        <f t="shared" si="37"/>
        <v>3843.2035999999989</v>
      </c>
      <c r="T22" s="9">
        <f t="shared" ref="T22:Y22" si="38">T18-T21</f>
        <v>12370</v>
      </c>
      <c r="U22" s="9">
        <f t="shared" si="38"/>
        <v>10468</v>
      </c>
      <c r="V22" s="9">
        <f t="shared" si="38"/>
        <v>10998</v>
      </c>
      <c r="W22" s="9">
        <f t="shared" si="38"/>
        <v>13119</v>
      </c>
      <c r="X22" s="9">
        <f t="shared" si="38"/>
        <v>13667</v>
      </c>
      <c r="Y22" s="9">
        <f t="shared" si="38"/>
        <v>14662</v>
      </c>
      <c r="Z22" s="9">
        <f t="shared" ref="Z22:AJ22" si="39">Z18-Z21</f>
        <v>15198.203600000001</v>
      </c>
      <c r="AA22" s="9">
        <f t="shared" si="39"/>
        <v>16625.099572000003</v>
      </c>
      <c r="AB22" s="9">
        <f t="shared" si="39"/>
        <v>17456.354550599997</v>
      </c>
      <c r="AC22" s="9">
        <f t="shared" si="39"/>
        <v>18154.608732623998</v>
      </c>
      <c r="AD22" s="9">
        <f t="shared" si="39"/>
        <v>18699.246994602719</v>
      </c>
      <c r="AE22" s="9">
        <f t="shared" si="39"/>
        <v>19146.410655568121</v>
      </c>
      <c r="AF22" s="9">
        <f t="shared" si="39"/>
        <v>19413.248844829352</v>
      </c>
      <c r="AG22" s="9">
        <f t="shared" si="39"/>
        <v>19684.262897637309</v>
      </c>
      <c r="AH22" s="9">
        <f t="shared" si="39"/>
        <v>19959.524722260536</v>
      </c>
      <c r="AI22" s="9">
        <f t="shared" si="39"/>
        <v>20239.107549042928</v>
      </c>
      <c r="AJ22" s="9">
        <f t="shared" si="39"/>
        <v>20523.085955684342</v>
      </c>
    </row>
    <row r="23" spans="2:36" x14ac:dyDescent="0.3">
      <c r="B23" s="1" t="s">
        <v>19</v>
      </c>
      <c r="C23" s="6">
        <v>350</v>
      </c>
      <c r="D23" s="6">
        <v>386</v>
      </c>
      <c r="G23" s="6">
        <v>357</v>
      </c>
      <c r="H23" s="6">
        <v>375</v>
      </c>
      <c r="I23" s="6">
        <v>364</v>
      </c>
      <c r="J23" s="6">
        <f t="shared" ref="J23:J25" si="40">X23-I23-H23-G23</f>
        <v>360</v>
      </c>
      <c r="K23" s="6">
        <v>360</v>
      </c>
      <c r="L23" s="6">
        <v>382</v>
      </c>
      <c r="M23" s="6">
        <v>368</v>
      </c>
      <c r="N23" s="6">
        <f t="shared" ref="N23:N25" si="41">Y23-M23-L23-K23</f>
        <v>426</v>
      </c>
      <c r="O23" s="6">
        <v>439</v>
      </c>
      <c r="P23" s="6">
        <v>481</v>
      </c>
      <c r="Q23" s="6">
        <v>497</v>
      </c>
      <c r="R23" s="6">
        <f>N23*1.2</f>
        <v>511.2</v>
      </c>
      <c r="T23" s="6"/>
      <c r="U23" s="6"/>
      <c r="V23" s="6"/>
      <c r="W23" s="6">
        <v>1478</v>
      </c>
      <c r="X23" s="6">
        <v>1456</v>
      </c>
      <c r="Y23" s="6">
        <v>1536</v>
      </c>
      <c r="Z23" s="6">
        <f t="shared" ref="Z23:Z25" si="42">SUM(O23:R23)</f>
        <v>1928.2</v>
      </c>
      <c r="AA23" s="6">
        <f>Z23*1.12</f>
        <v>2159.5840000000003</v>
      </c>
      <c r="AB23" s="6">
        <f>AA23*1.07</f>
        <v>2310.7548800000004</v>
      </c>
      <c r="AC23" s="6">
        <f>AB23*1.03</f>
        <v>2380.0775264000004</v>
      </c>
      <c r="AD23" s="6">
        <f t="shared" ref="AD23:AJ23" si="43">AC23*1.02</f>
        <v>2427.6790769280005</v>
      </c>
      <c r="AE23" s="6">
        <f t="shared" si="43"/>
        <v>2476.2326584665607</v>
      </c>
      <c r="AF23" s="6">
        <f t="shared" si="43"/>
        <v>2525.7573116358917</v>
      </c>
      <c r="AG23" s="6">
        <f t="shared" si="43"/>
        <v>2576.2724578686098</v>
      </c>
      <c r="AH23" s="6">
        <f t="shared" si="43"/>
        <v>2627.7979070259821</v>
      </c>
      <c r="AI23" s="6">
        <f t="shared" si="43"/>
        <v>2680.3538651665017</v>
      </c>
      <c r="AJ23" s="6">
        <f t="shared" si="43"/>
        <v>2733.9609424698319</v>
      </c>
    </row>
    <row r="24" spans="2:36" x14ac:dyDescent="0.3">
      <c r="B24" s="1" t="s">
        <v>20</v>
      </c>
      <c r="C24" s="6">
        <v>1431</v>
      </c>
      <c r="D24" s="6">
        <v>1306</v>
      </c>
      <c r="G24" s="6">
        <v>1317</v>
      </c>
      <c r="H24" s="6">
        <v>1262</v>
      </c>
      <c r="I24" s="6">
        <v>1252</v>
      </c>
      <c r="J24" s="6">
        <f t="shared" si="40"/>
        <v>1296</v>
      </c>
      <c r="K24" s="6">
        <v>1302</v>
      </c>
      <c r="L24" s="6">
        <v>1361</v>
      </c>
      <c r="M24" s="6">
        <v>1398</v>
      </c>
      <c r="N24" s="6">
        <f t="shared" si="41"/>
        <v>1405</v>
      </c>
      <c r="O24" s="6">
        <v>1361</v>
      </c>
      <c r="P24" s="6">
        <v>1428</v>
      </c>
      <c r="Q24" s="6">
        <v>1296</v>
      </c>
      <c r="R24" s="6">
        <f>N24*1.05</f>
        <v>1475.25</v>
      </c>
      <c r="T24" s="6">
        <v>5519</v>
      </c>
      <c r="U24" s="6">
        <v>4772</v>
      </c>
      <c r="V24" s="6">
        <v>4798</v>
      </c>
      <c r="W24" s="6">
        <v>5214</v>
      </c>
      <c r="X24" s="6">
        <v>5127</v>
      </c>
      <c r="Y24" s="6">
        <v>5466</v>
      </c>
      <c r="Z24" s="6">
        <f t="shared" si="42"/>
        <v>5560.25</v>
      </c>
      <c r="AA24" s="6">
        <f>Z24*1.03</f>
        <v>5727.0574999999999</v>
      </c>
      <c r="AB24" s="6">
        <f>AA24*1.02</f>
        <v>5841.5986499999999</v>
      </c>
      <c r="AC24" s="6">
        <f t="shared" ref="AC24:AJ24" si="44">AB24*1.01</f>
        <v>5900.0146365000001</v>
      </c>
      <c r="AD24" s="6">
        <f t="shared" si="44"/>
        <v>5959.0147828649997</v>
      </c>
      <c r="AE24" s="6">
        <f t="shared" si="44"/>
        <v>6018.6049306936493</v>
      </c>
      <c r="AF24" s="6">
        <f t="shared" si="44"/>
        <v>6078.7909800005855</v>
      </c>
      <c r="AG24" s="6">
        <f t="shared" si="44"/>
        <v>6139.5788898005912</v>
      </c>
      <c r="AH24" s="6">
        <f t="shared" si="44"/>
        <v>6200.974678698597</v>
      </c>
      <c r="AI24" s="6">
        <f t="shared" si="44"/>
        <v>6262.9844254855834</v>
      </c>
      <c r="AJ24" s="6">
        <f t="shared" si="44"/>
        <v>6325.6142697404393</v>
      </c>
    </row>
    <row r="25" spans="2:36" x14ac:dyDescent="0.3">
      <c r="B25" s="1" t="s">
        <v>21</v>
      </c>
      <c r="C25" s="6">
        <v>0</v>
      </c>
      <c r="D25" s="6">
        <v>0</v>
      </c>
      <c r="G25" s="6">
        <v>0</v>
      </c>
      <c r="H25" s="6">
        <v>0</v>
      </c>
      <c r="I25" s="6">
        <v>0</v>
      </c>
      <c r="J25" s="6">
        <f t="shared" si="40"/>
        <v>0</v>
      </c>
      <c r="K25" s="6">
        <v>0</v>
      </c>
      <c r="L25" s="6">
        <v>0</v>
      </c>
      <c r="M25" s="6">
        <v>125</v>
      </c>
      <c r="N25" s="6">
        <f t="shared" si="41"/>
        <v>94</v>
      </c>
      <c r="O25" s="6">
        <v>15</v>
      </c>
      <c r="P25" s="6">
        <v>0</v>
      </c>
      <c r="Q25" s="6">
        <v>0</v>
      </c>
      <c r="R25" s="6">
        <v>0</v>
      </c>
      <c r="T25" s="6">
        <v>0</v>
      </c>
      <c r="U25" s="6">
        <v>0</v>
      </c>
      <c r="V25" s="6">
        <v>0</v>
      </c>
      <c r="W25" s="6">
        <v>0</v>
      </c>
      <c r="X25" s="6">
        <v>0</v>
      </c>
      <c r="Y25" s="6">
        <v>219</v>
      </c>
      <c r="Z25" s="6">
        <f t="shared" si="42"/>
        <v>15</v>
      </c>
      <c r="AA25" s="6">
        <v>0</v>
      </c>
      <c r="AB25" s="6">
        <v>0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>
        <v>0</v>
      </c>
      <c r="AJ25" s="6">
        <v>0</v>
      </c>
    </row>
    <row r="26" spans="2:36" x14ac:dyDescent="0.3">
      <c r="B26" s="1" t="s">
        <v>23</v>
      </c>
      <c r="C26" s="6">
        <f t="shared" ref="C26" si="45">SUM(C23:C25)</f>
        <v>1781</v>
      </c>
      <c r="D26" s="6">
        <f t="shared" ref="D26" si="46">SUM(D23:D25)</f>
        <v>1692</v>
      </c>
      <c r="G26" s="6">
        <f t="shared" ref="G26" si="47">SUM(G23:G25)</f>
        <v>1674</v>
      </c>
      <c r="H26" s="6">
        <f t="shared" ref="H26:I26" si="48">SUM(H23:H25)</f>
        <v>1637</v>
      </c>
      <c r="I26" s="6">
        <f t="shared" si="48"/>
        <v>1616</v>
      </c>
      <c r="J26" s="6">
        <f t="shared" ref="J26:K26" si="49">SUM(J23:J25)</f>
        <v>1656</v>
      </c>
      <c r="K26" s="6">
        <f t="shared" si="49"/>
        <v>1662</v>
      </c>
      <c r="L26" s="6">
        <f t="shared" ref="L26" si="50">SUM(L23:L25)</f>
        <v>1743</v>
      </c>
      <c r="M26" s="6">
        <f t="shared" ref="M26:N26" si="51">SUM(M23:M25)</f>
        <v>1891</v>
      </c>
      <c r="N26" s="6">
        <f t="shared" si="51"/>
        <v>1925</v>
      </c>
      <c r="O26" s="6">
        <f t="shared" ref="O26:P26" si="52">SUM(O23:O25)</f>
        <v>1815</v>
      </c>
      <c r="P26" s="6">
        <f t="shared" si="52"/>
        <v>1909</v>
      </c>
      <c r="Q26" s="6">
        <f t="shared" ref="Q26:R26" si="53">SUM(Q23:Q25)</f>
        <v>1793</v>
      </c>
      <c r="R26" s="6">
        <f t="shared" si="53"/>
        <v>1986.45</v>
      </c>
      <c r="T26" s="6">
        <f t="shared" ref="T26:Y26" si="54">SUM(T23:T25)</f>
        <v>5519</v>
      </c>
      <c r="U26" s="6">
        <f t="shared" si="54"/>
        <v>4772</v>
      </c>
      <c r="V26" s="6">
        <f t="shared" si="54"/>
        <v>4798</v>
      </c>
      <c r="W26" s="6">
        <f t="shared" si="54"/>
        <v>6692</v>
      </c>
      <c r="X26" s="6">
        <f t="shared" si="54"/>
        <v>6583</v>
      </c>
      <c r="Y26" s="6">
        <f t="shared" si="54"/>
        <v>7221</v>
      </c>
      <c r="Z26" s="6">
        <f t="shared" ref="Z26:AJ26" si="55">SUM(Z23:Z25)</f>
        <v>7503.45</v>
      </c>
      <c r="AA26" s="6">
        <f t="shared" si="55"/>
        <v>7886.6414999999997</v>
      </c>
      <c r="AB26" s="6">
        <f t="shared" si="55"/>
        <v>8152.3535300000003</v>
      </c>
      <c r="AC26" s="6">
        <f t="shared" si="55"/>
        <v>8280.0921629000004</v>
      </c>
      <c r="AD26" s="6">
        <f t="shared" si="55"/>
        <v>8386.6938597930002</v>
      </c>
      <c r="AE26" s="6">
        <f t="shared" si="55"/>
        <v>8494.83758916021</v>
      </c>
      <c r="AF26" s="6">
        <f t="shared" si="55"/>
        <v>8604.5482916364781</v>
      </c>
      <c r="AG26" s="6">
        <f t="shared" si="55"/>
        <v>8715.8513476692005</v>
      </c>
      <c r="AH26" s="6">
        <f t="shared" si="55"/>
        <v>8828.7725857245787</v>
      </c>
      <c r="AI26" s="6">
        <f t="shared" si="55"/>
        <v>8943.3382906520856</v>
      </c>
      <c r="AJ26" s="6">
        <f t="shared" si="55"/>
        <v>9059.5752122102713</v>
      </c>
    </row>
    <row r="27" spans="2:36" s="2" customFormat="1" x14ac:dyDescent="0.3">
      <c r="B27" s="2" t="s">
        <v>24</v>
      </c>
      <c r="C27" s="9">
        <f t="shared" ref="C27" si="56">C22-C26</f>
        <v>1271</v>
      </c>
      <c r="D27" s="9">
        <f t="shared" ref="D27" si="57">D22-D26</f>
        <v>1601</v>
      </c>
      <c r="G27" s="9">
        <f t="shared" ref="G27" si="58">G22-G26</f>
        <v>1692</v>
      </c>
      <c r="H27" s="9">
        <f t="shared" ref="H27:I27" si="59">H22-H26</f>
        <v>1883</v>
      </c>
      <c r="I27" s="9">
        <f t="shared" si="59"/>
        <v>1926</v>
      </c>
      <c r="J27" s="9">
        <f t="shared" ref="J27:K27" si="60">J22-J26</f>
        <v>1583</v>
      </c>
      <c r="K27" s="9">
        <f t="shared" si="60"/>
        <v>1860</v>
      </c>
      <c r="L27" s="9">
        <f t="shared" ref="L27:M27" si="61">L22-L26</f>
        <v>1978</v>
      </c>
      <c r="M27" s="9">
        <f t="shared" si="61"/>
        <v>1858</v>
      </c>
      <c r="N27" s="9">
        <f t="shared" ref="N27" si="62">N22-N26</f>
        <v>1745</v>
      </c>
      <c r="O27" s="9">
        <f t="shared" ref="O27:P27" si="63">O22-O26</f>
        <v>1970</v>
      </c>
      <c r="P27" s="9">
        <f t="shared" si="63"/>
        <v>2114</v>
      </c>
      <c r="Q27" s="9">
        <f t="shared" ref="Q27:R27" si="64">Q22-Q26</f>
        <v>1754</v>
      </c>
      <c r="R27" s="9">
        <f t="shared" si="64"/>
        <v>1856.7535999999989</v>
      </c>
      <c r="T27" s="9">
        <f t="shared" ref="T27:Y27" si="65">T22-T26</f>
        <v>6851</v>
      </c>
      <c r="U27" s="9">
        <f t="shared" si="65"/>
        <v>5696</v>
      </c>
      <c r="V27" s="9">
        <f t="shared" si="65"/>
        <v>6200</v>
      </c>
      <c r="W27" s="9">
        <f t="shared" si="65"/>
        <v>6427</v>
      </c>
      <c r="X27" s="9">
        <f t="shared" si="65"/>
        <v>7084</v>
      </c>
      <c r="Y27" s="9">
        <f t="shared" si="65"/>
        <v>7441</v>
      </c>
      <c r="Z27" s="9">
        <f t="shared" ref="Z27:AJ27" si="66">Z22-Z26</f>
        <v>7694.7536000000009</v>
      </c>
      <c r="AA27" s="9">
        <f t="shared" si="66"/>
        <v>8738.4580720000031</v>
      </c>
      <c r="AB27" s="9">
        <f t="shared" si="66"/>
        <v>9304.001020599997</v>
      </c>
      <c r="AC27" s="9">
        <f t="shared" si="66"/>
        <v>9874.5165697239972</v>
      </c>
      <c r="AD27" s="9">
        <f t="shared" si="66"/>
        <v>10312.553134809719</v>
      </c>
      <c r="AE27" s="9">
        <f t="shared" si="66"/>
        <v>10651.573066407911</v>
      </c>
      <c r="AF27" s="9">
        <f t="shared" si="66"/>
        <v>10808.700553192873</v>
      </c>
      <c r="AG27" s="9">
        <f t="shared" si="66"/>
        <v>10968.411549968108</v>
      </c>
      <c r="AH27" s="9">
        <f t="shared" si="66"/>
        <v>11130.752136535957</v>
      </c>
      <c r="AI27" s="9">
        <f t="shared" si="66"/>
        <v>11295.769258390843</v>
      </c>
      <c r="AJ27" s="9">
        <f t="shared" si="66"/>
        <v>11463.510743474071</v>
      </c>
    </row>
    <row r="28" spans="2:36" x14ac:dyDescent="0.3">
      <c r="B28" s="1" t="s">
        <v>22</v>
      </c>
      <c r="C28" s="6">
        <v>-319</v>
      </c>
      <c r="D28" s="6">
        <v>-190</v>
      </c>
      <c r="G28" s="6">
        <v>-260</v>
      </c>
      <c r="H28" s="6">
        <v>-208</v>
      </c>
      <c r="I28" s="6">
        <v>-247</v>
      </c>
      <c r="J28" s="6">
        <f t="shared" ref="J28:J29" si="67">X28-I28-H28-G28</f>
        <v>-125</v>
      </c>
      <c r="K28" s="6">
        <v>-231</v>
      </c>
      <c r="L28" s="6">
        <v>-246</v>
      </c>
      <c r="M28" s="6">
        <v>-263</v>
      </c>
      <c r="N28" s="6">
        <f t="shared" ref="N28:N29" si="68">Y28-M28-L28-K28</f>
        <v>-90</v>
      </c>
      <c r="O28" s="6">
        <v>-200</v>
      </c>
      <c r="P28" s="6">
        <v>-87</v>
      </c>
      <c r="Q28" s="6">
        <v>-822</v>
      </c>
      <c r="R28" s="6">
        <f>N28*1.01</f>
        <v>-90.9</v>
      </c>
      <c r="T28" s="6">
        <v>-1065</v>
      </c>
      <c r="U28" s="6">
        <v>-675</v>
      </c>
      <c r="V28" s="6">
        <v>-1378</v>
      </c>
      <c r="W28" s="6">
        <v>-366</v>
      </c>
      <c r="X28" s="6">
        <v>-840</v>
      </c>
      <c r="Y28" s="6">
        <v>-830</v>
      </c>
      <c r="Z28" s="6">
        <f t="shared" ref="Z28:Z29" si="69">SUM(O28:R28)</f>
        <v>-1199.9000000000001</v>
      </c>
      <c r="AA28" s="6">
        <f t="shared" ref="AA28:AJ28" si="70">Z28*1.01</f>
        <v>-1211.8990000000001</v>
      </c>
      <c r="AB28" s="6">
        <f t="shared" si="70"/>
        <v>-1224.0179900000001</v>
      </c>
      <c r="AC28" s="6">
        <f t="shared" si="70"/>
        <v>-1236.2581699</v>
      </c>
      <c r="AD28" s="6">
        <f t="shared" si="70"/>
        <v>-1248.620751599</v>
      </c>
      <c r="AE28" s="6">
        <f t="shared" si="70"/>
        <v>-1261.1069591149899</v>
      </c>
      <c r="AF28" s="6">
        <f t="shared" si="70"/>
        <v>-1273.7180287061399</v>
      </c>
      <c r="AG28" s="6">
        <f t="shared" si="70"/>
        <v>-1286.4552089932013</v>
      </c>
      <c r="AH28" s="6">
        <f t="shared" si="70"/>
        <v>-1299.3197610831332</v>
      </c>
      <c r="AI28" s="6">
        <f t="shared" si="70"/>
        <v>-1312.3129586939647</v>
      </c>
      <c r="AJ28" s="6">
        <f t="shared" si="70"/>
        <v>-1325.4360882809044</v>
      </c>
    </row>
    <row r="29" spans="2:36" x14ac:dyDescent="0.3">
      <c r="B29" s="1" t="s">
        <v>26</v>
      </c>
      <c r="C29" s="6">
        <v>85</v>
      </c>
      <c r="D29" s="6">
        <v>87</v>
      </c>
      <c r="G29" s="6">
        <v>170</v>
      </c>
      <c r="H29" s="6">
        <v>187</v>
      </c>
      <c r="I29" s="6">
        <v>206</v>
      </c>
      <c r="J29" s="6">
        <f t="shared" si="67"/>
        <v>202</v>
      </c>
      <c r="K29" s="6">
        <v>220</v>
      </c>
      <c r="L29" s="6">
        <v>250</v>
      </c>
      <c r="M29" s="6">
        <v>297</v>
      </c>
      <c r="N29" s="6">
        <f t="shared" si="68"/>
        <v>291</v>
      </c>
      <c r="O29" s="6">
        <v>286</v>
      </c>
      <c r="P29" s="6">
        <v>330</v>
      </c>
      <c r="Q29" s="6">
        <v>354</v>
      </c>
      <c r="R29" s="6">
        <f>Q29*1.01</f>
        <v>357.54</v>
      </c>
      <c r="T29" s="6">
        <v>357</v>
      </c>
      <c r="U29" s="6">
        <v>359</v>
      </c>
      <c r="V29" s="6">
        <v>343</v>
      </c>
      <c r="W29" s="6">
        <v>414</v>
      </c>
      <c r="X29" s="6">
        <v>765</v>
      </c>
      <c r="Y29" s="6">
        <v>1058</v>
      </c>
      <c r="Z29" s="6">
        <f t="shared" si="69"/>
        <v>1327.54</v>
      </c>
      <c r="AA29" s="6">
        <f t="shared" ref="AA29:AJ29" si="71">Z29*1.02</f>
        <v>1354.0907999999999</v>
      </c>
      <c r="AB29" s="6">
        <f t="shared" si="71"/>
        <v>1381.1726160000001</v>
      </c>
      <c r="AC29" s="6">
        <f t="shared" si="71"/>
        <v>1408.7960683200001</v>
      </c>
      <c r="AD29" s="6">
        <f t="shared" si="71"/>
        <v>1436.9719896864001</v>
      </c>
      <c r="AE29" s="6">
        <f t="shared" si="71"/>
        <v>1465.7114294801281</v>
      </c>
      <c r="AF29" s="6">
        <f t="shared" si="71"/>
        <v>1495.0256580697308</v>
      </c>
      <c r="AG29" s="6">
        <f t="shared" si="71"/>
        <v>1524.9261712311254</v>
      </c>
      <c r="AH29" s="6">
        <f t="shared" si="71"/>
        <v>1555.424694655748</v>
      </c>
      <c r="AI29" s="6">
        <f t="shared" si="71"/>
        <v>1586.5331885488629</v>
      </c>
      <c r="AJ29" s="6">
        <f t="shared" si="71"/>
        <v>1618.2638523198402</v>
      </c>
    </row>
    <row r="30" spans="2:36" x14ac:dyDescent="0.3">
      <c r="B30" s="1" t="s">
        <v>25</v>
      </c>
      <c r="C30" s="6">
        <f t="shared" ref="C30" si="72">SUM(C28:C29)</f>
        <v>-234</v>
      </c>
      <c r="D30" s="6">
        <f t="shared" ref="D30" si="73">SUM(D28:D29)</f>
        <v>-103</v>
      </c>
      <c r="G30" s="6">
        <f t="shared" ref="G30" si="74">SUM(G28:G29)</f>
        <v>-90</v>
      </c>
      <c r="H30" s="6">
        <f t="shared" ref="H30:I30" si="75">SUM(H28:H29)</f>
        <v>-21</v>
      </c>
      <c r="I30" s="6">
        <f t="shared" si="75"/>
        <v>-41</v>
      </c>
      <c r="J30" s="6">
        <f t="shared" ref="J30:K30" si="76">SUM(J28:J29)</f>
        <v>77</v>
      </c>
      <c r="K30" s="6">
        <f t="shared" si="76"/>
        <v>-11</v>
      </c>
      <c r="L30" s="6">
        <f t="shared" ref="L30" si="77">SUM(L28:L29)</f>
        <v>4</v>
      </c>
      <c r="M30" s="6">
        <f t="shared" ref="M30:N30" si="78">SUM(M28:M29)</f>
        <v>34</v>
      </c>
      <c r="N30" s="6">
        <f t="shared" si="78"/>
        <v>201</v>
      </c>
      <c r="O30" s="6">
        <f t="shared" ref="O30:P30" si="79">SUM(O28:O29)</f>
        <v>86</v>
      </c>
      <c r="P30" s="6">
        <f t="shared" si="79"/>
        <v>243</v>
      </c>
      <c r="Q30" s="6">
        <f t="shared" ref="Q30:R30" si="80">SUM(Q28:Q29)</f>
        <v>-468</v>
      </c>
      <c r="R30" s="6">
        <f t="shared" si="80"/>
        <v>266.64</v>
      </c>
      <c r="T30" s="6">
        <f t="shared" ref="T30:Y30" si="81">SUM(T28:T29)</f>
        <v>-708</v>
      </c>
      <c r="U30" s="6">
        <f t="shared" si="81"/>
        <v>-316</v>
      </c>
      <c r="V30" s="6">
        <f t="shared" si="81"/>
        <v>-1035</v>
      </c>
      <c r="W30" s="6">
        <f t="shared" si="81"/>
        <v>48</v>
      </c>
      <c r="X30" s="6">
        <f t="shared" si="81"/>
        <v>-75</v>
      </c>
      <c r="Y30" s="6">
        <f t="shared" si="81"/>
        <v>228</v>
      </c>
      <c r="Z30" s="6">
        <f t="shared" ref="Z30:AJ30" si="82">SUM(Z28:Z29)</f>
        <v>127.63999999999987</v>
      </c>
      <c r="AA30" s="6">
        <f t="shared" si="82"/>
        <v>142.19179999999983</v>
      </c>
      <c r="AB30" s="6">
        <f t="shared" si="82"/>
        <v>157.15462600000001</v>
      </c>
      <c r="AC30" s="6">
        <f t="shared" si="82"/>
        <v>172.53789842000015</v>
      </c>
      <c r="AD30" s="6">
        <f t="shared" si="82"/>
        <v>188.35123808740013</v>
      </c>
      <c r="AE30" s="6">
        <f t="shared" si="82"/>
        <v>204.60447036513824</v>
      </c>
      <c r="AF30" s="6">
        <f t="shared" si="82"/>
        <v>221.30762936359088</v>
      </c>
      <c r="AG30" s="6">
        <f t="shared" si="82"/>
        <v>238.47096223792414</v>
      </c>
      <c r="AH30" s="6">
        <f t="shared" si="82"/>
        <v>256.10493357261475</v>
      </c>
      <c r="AI30" s="6">
        <f t="shared" si="82"/>
        <v>274.22022985489821</v>
      </c>
      <c r="AJ30" s="6">
        <f t="shared" si="82"/>
        <v>292.82776403893581</v>
      </c>
    </row>
    <row r="31" spans="2:36" s="2" customFormat="1" x14ac:dyDescent="0.3">
      <c r="B31" s="2" t="s">
        <v>27</v>
      </c>
      <c r="C31" s="9">
        <f t="shared" ref="C31" si="83">C27-C30</f>
        <v>1505</v>
      </c>
      <c r="D31" s="9">
        <f t="shared" ref="D31" si="84">D27-D30</f>
        <v>1704</v>
      </c>
      <c r="G31" s="9">
        <f t="shared" ref="G31" si="85">G27-G30</f>
        <v>1782</v>
      </c>
      <c r="H31" s="9">
        <f t="shared" ref="H31:I31" si="86">H27-H30</f>
        <v>1904</v>
      </c>
      <c r="I31" s="9">
        <f t="shared" si="86"/>
        <v>1967</v>
      </c>
      <c r="J31" s="9">
        <f t="shared" ref="J31:K31" si="87">J27-J30</f>
        <v>1506</v>
      </c>
      <c r="K31" s="9">
        <f t="shared" si="87"/>
        <v>1871</v>
      </c>
      <c r="L31" s="9">
        <f t="shared" ref="L31:M31" si="88">L27-L30</f>
        <v>1974</v>
      </c>
      <c r="M31" s="9">
        <f t="shared" si="88"/>
        <v>1824</v>
      </c>
      <c r="N31" s="9">
        <f t="shared" ref="N31" si="89">N27-N30</f>
        <v>1544</v>
      </c>
      <c r="O31" s="9">
        <f t="shared" ref="O31:P31" si="90">O27-O30</f>
        <v>1884</v>
      </c>
      <c r="P31" s="9">
        <f t="shared" si="90"/>
        <v>1871</v>
      </c>
      <c r="Q31" s="9">
        <f t="shared" ref="Q31:R31" si="91">Q27-Q30</f>
        <v>2222</v>
      </c>
      <c r="R31" s="9">
        <f t="shared" si="91"/>
        <v>1590.1135999999988</v>
      </c>
      <c r="T31" s="9">
        <f t="shared" ref="T31:Y31" si="92">T27-T30</f>
        <v>7559</v>
      </c>
      <c r="U31" s="9">
        <f t="shared" si="92"/>
        <v>6012</v>
      </c>
      <c r="V31" s="9">
        <f t="shared" si="92"/>
        <v>7235</v>
      </c>
      <c r="W31" s="9">
        <f t="shared" si="92"/>
        <v>6379</v>
      </c>
      <c r="X31" s="9">
        <f t="shared" si="92"/>
        <v>7159</v>
      </c>
      <c r="Y31" s="9">
        <f t="shared" si="92"/>
        <v>7213</v>
      </c>
      <c r="Z31" s="9">
        <f t="shared" ref="Z31:AJ31" si="93">Z27-Z30</f>
        <v>7567.1136000000006</v>
      </c>
      <c r="AA31" s="9">
        <f t="shared" si="93"/>
        <v>8596.2662720000026</v>
      </c>
      <c r="AB31" s="9">
        <f t="shared" si="93"/>
        <v>9146.8463945999974</v>
      </c>
      <c r="AC31" s="9">
        <f t="shared" si="93"/>
        <v>9701.9786713039975</v>
      </c>
      <c r="AD31" s="9">
        <f t="shared" si="93"/>
        <v>10124.201896722319</v>
      </c>
      <c r="AE31" s="9">
        <f t="shared" si="93"/>
        <v>10446.968596042772</v>
      </c>
      <c r="AF31" s="9">
        <f t="shared" si="93"/>
        <v>10587.392923829282</v>
      </c>
      <c r="AG31" s="9">
        <f t="shared" si="93"/>
        <v>10729.940587730183</v>
      </c>
      <c r="AH31" s="9">
        <f t="shared" si="93"/>
        <v>10874.647202963342</v>
      </c>
      <c r="AI31" s="9">
        <f t="shared" si="93"/>
        <v>11021.549028535945</v>
      </c>
      <c r="AJ31" s="9">
        <f t="shared" si="93"/>
        <v>11170.682979435136</v>
      </c>
    </row>
    <row r="32" spans="2:36" x14ac:dyDescent="0.3">
      <c r="B32" s="1" t="s">
        <v>28</v>
      </c>
      <c r="C32" s="6">
        <v>371</v>
      </c>
      <c r="D32" s="6">
        <v>441</v>
      </c>
      <c r="G32" s="6">
        <v>374</v>
      </c>
      <c r="H32" s="6">
        <v>403</v>
      </c>
      <c r="I32" s="6">
        <v>452</v>
      </c>
      <c r="J32" s="6">
        <f t="shared" ref="J32:J33" si="94">X32-I32-H32-G32</f>
        <v>258</v>
      </c>
      <c r="K32" s="6">
        <v>396</v>
      </c>
      <c r="L32" s="6">
        <v>414</v>
      </c>
      <c r="M32" s="6">
        <v>409</v>
      </c>
      <c r="N32" s="6">
        <f t="shared" ref="N32:N33" si="95">Y32-M32-L32-K32</f>
        <v>254</v>
      </c>
      <c r="O32" s="6">
        <v>417</v>
      </c>
      <c r="P32" s="6">
        <v>302</v>
      </c>
      <c r="Q32" s="6">
        <v>363</v>
      </c>
      <c r="R32" s="6">
        <f>R31*0.18</f>
        <v>286.22044799999975</v>
      </c>
      <c r="T32" s="6">
        <v>1329</v>
      </c>
      <c r="U32" s="6">
        <v>1147</v>
      </c>
      <c r="V32" s="6">
        <v>1625</v>
      </c>
      <c r="W32" s="6">
        <v>1412</v>
      </c>
      <c r="X32" s="6">
        <v>1487</v>
      </c>
      <c r="Y32" s="6">
        <v>1473</v>
      </c>
      <c r="Z32" s="6">
        <f t="shared" ref="Z32:Z33" si="96">SUM(O32:R32)</f>
        <v>1368.2204479999998</v>
      </c>
      <c r="AA32" s="6">
        <f t="shared" ref="AA32:AJ32" si="97">AA31*0.21</f>
        <v>1805.2159171200005</v>
      </c>
      <c r="AB32" s="6">
        <f t="shared" si="97"/>
        <v>1920.8377428659994</v>
      </c>
      <c r="AC32" s="6">
        <f t="shared" si="97"/>
        <v>2037.4155209738394</v>
      </c>
      <c r="AD32" s="6">
        <f t="shared" si="97"/>
        <v>2126.082398311687</v>
      </c>
      <c r="AE32" s="6">
        <f t="shared" si="97"/>
        <v>2193.8634051689819</v>
      </c>
      <c r="AF32" s="6">
        <f t="shared" si="97"/>
        <v>2223.3525140041493</v>
      </c>
      <c r="AG32" s="6">
        <f t="shared" si="97"/>
        <v>2253.2875234233384</v>
      </c>
      <c r="AH32" s="6">
        <f t="shared" si="97"/>
        <v>2283.6759126223019</v>
      </c>
      <c r="AI32" s="6">
        <f t="shared" si="97"/>
        <v>2314.5252959925483</v>
      </c>
      <c r="AJ32" s="6">
        <f t="shared" si="97"/>
        <v>2345.8434256813784</v>
      </c>
    </row>
    <row r="33" spans="2:136" x14ac:dyDescent="0.3">
      <c r="B33" s="1" t="s">
        <v>29</v>
      </c>
      <c r="C33" s="6">
        <v>0</v>
      </c>
      <c r="D33" s="6">
        <v>2</v>
      </c>
      <c r="G33" s="6">
        <v>14</v>
      </c>
      <c r="H33" s="6">
        <v>14</v>
      </c>
      <c r="I33" s="6">
        <v>1</v>
      </c>
      <c r="J33" s="6">
        <f t="shared" si="94"/>
        <v>-15</v>
      </c>
      <c r="K33" s="6">
        <v>12</v>
      </c>
      <c r="L33" s="6">
        <v>16</v>
      </c>
      <c r="M33" s="6">
        <v>2</v>
      </c>
      <c r="N33" s="6">
        <f t="shared" si="95"/>
        <v>5</v>
      </c>
      <c r="O33" s="6">
        <v>18</v>
      </c>
      <c r="P33" s="6">
        <v>-1</v>
      </c>
      <c r="Q33" s="6">
        <v>34</v>
      </c>
      <c r="R33" s="6">
        <v>0</v>
      </c>
      <c r="T33" s="6">
        <v>87</v>
      </c>
      <c r="U33" s="6">
        <v>86</v>
      </c>
      <c r="V33" s="6">
        <v>68</v>
      </c>
      <c r="W33" s="6">
        <v>1</v>
      </c>
      <c r="X33" s="6">
        <v>14</v>
      </c>
      <c r="Y33" s="6">
        <v>35</v>
      </c>
      <c r="Z33" s="6">
        <f t="shared" si="96"/>
        <v>51</v>
      </c>
      <c r="AA33" s="6">
        <v>0</v>
      </c>
      <c r="AB33" s="6">
        <v>0</v>
      </c>
      <c r="AC33" s="6">
        <v>0</v>
      </c>
      <c r="AD33" s="6">
        <v>0</v>
      </c>
      <c r="AE33" s="6">
        <v>0</v>
      </c>
      <c r="AF33" s="6">
        <v>0</v>
      </c>
      <c r="AG33" s="6">
        <v>0</v>
      </c>
      <c r="AH33" s="6">
        <v>0</v>
      </c>
      <c r="AI33" s="6">
        <v>0</v>
      </c>
      <c r="AJ33" s="6">
        <v>0</v>
      </c>
    </row>
    <row r="34" spans="2:136" s="2" customFormat="1" x14ac:dyDescent="0.3">
      <c r="B34" s="2" t="s">
        <v>30</v>
      </c>
      <c r="C34" s="9">
        <f t="shared" ref="C34" si="98">C31-C32-C33</f>
        <v>1134</v>
      </c>
      <c r="D34" s="9">
        <f t="shared" ref="D34" si="99">D31-D32-D33</f>
        <v>1261</v>
      </c>
      <c r="G34" s="9">
        <f t="shared" ref="G34" si="100">G31-G32-G33</f>
        <v>1394</v>
      </c>
      <c r="H34" s="9">
        <f t="shared" ref="H34:I34" si="101">H31-H32-H33</f>
        <v>1487</v>
      </c>
      <c r="I34" s="9">
        <f t="shared" si="101"/>
        <v>1514</v>
      </c>
      <c r="J34" s="9">
        <f t="shared" ref="J34:K34" si="102">J31-J32-J33</f>
        <v>1263</v>
      </c>
      <c r="K34" s="9">
        <f t="shared" si="102"/>
        <v>1463</v>
      </c>
      <c r="L34" s="9">
        <f t="shared" ref="L34:M34" si="103">L31-L32-L33</f>
        <v>1544</v>
      </c>
      <c r="M34" s="9">
        <f t="shared" si="103"/>
        <v>1413</v>
      </c>
      <c r="N34" s="9">
        <f t="shared" ref="N34" si="104">N31-N32-N33</f>
        <v>1285</v>
      </c>
      <c r="O34" s="9">
        <f t="shared" ref="O34:P34" si="105">O31-O32-O33</f>
        <v>1449</v>
      </c>
      <c r="P34" s="9">
        <f t="shared" si="105"/>
        <v>1570</v>
      </c>
      <c r="Q34" s="9">
        <f t="shared" ref="Q34:R34" si="106">Q31-Q32-Q33</f>
        <v>1825</v>
      </c>
      <c r="R34" s="9">
        <f t="shared" si="106"/>
        <v>1303.893151999999</v>
      </c>
      <c r="T34" s="9">
        <f t="shared" ref="T34:Y34" si="107">T31-T32-T33</f>
        <v>6143</v>
      </c>
      <c r="U34" s="9">
        <f t="shared" si="107"/>
        <v>4779</v>
      </c>
      <c r="V34" s="9">
        <f t="shared" si="107"/>
        <v>5542</v>
      </c>
      <c r="W34" s="9">
        <f t="shared" si="107"/>
        <v>4966</v>
      </c>
      <c r="X34" s="9">
        <f t="shared" si="107"/>
        <v>5658</v>
      </c>
      <c r="Y34" s="9">
        <f t="shared" si="107"/>
        <v>5705</v>
      </c>
      <c r="Z34" s="9">
        <f t="shared" ref="Z34:AJ34" si="108">Z31-Z32-Z33</f>
        <v>6147.8931520000006</v>
      </c>
      <c r="AA34" s="9">
        <f t="shared" si="108"/>
        <v>6791.0503548800025</v>
      </c>
      <c r="AB34" s="9">
        <f t="shared" si="108"/>
        <v>7226.0086517339978</v>
      </c>
      <c r="AC34" s="9">
        <f t="shared" si="108"/>
        <v>7664.5631503301584</v>
      </c>
      <c r="AD34" s="9">
        <f t="shared" si="108"/>
        <v>7998.1194984106323</v>
      </c>
      <c r="AE34" s="9">
        <f t="shared" si="108"/>
        <v>8253.10519087379</v>
      </c>
      <c r="AF34" s="9">
        <f t="shared" si="108"/>
        <v>8364.0404098251329</v>
      </c>
      <c r="AG34" s="9">
        <f t="shared" si="108"/>
        <v>8476.6530643068454</v>
      </c>
      <c r="AH34" s="9">
        <f t="shared" si="108"/>
        <v>8590.97129034104</v>
      </c>
      <c r="AI34" s="9">
        <f t="shared" si="108"/>
        <v>8707.0237325433955</v>
      </c>
      <c r="AJ34" s="9">
        <f t="shared" si="108"/>
        <v>8824.8395537537581</v>
      </c>
      <c r="AK34" s="2">
        <f>AJ34*(1+$AM$44)</f>
        <v>8736.5911582162207</v>
      </c>
      <c r="AL34" s="2">
        <f t="shared" ref="AL34:CW34" si="109">AK34*(1+$AM$44)</f>
        <v>8649.2252466340578</v>
      </c>
      <c r="AM34" s="2">
        <f t="shared" si="109"/>
        <v>8562.7329941677181</v>
      </c>
      <c r="AN34" s="2">
        <f t="shared" si="109"/>
        <v>8477.105664226041</v>
      </c>
      <c r="AO34" s="2">
        <f t="shared" si="109"/>
        <v>8392.3346075837799</v>
      </c>
      <c r="AP34" s="2">
        <f t="shared" si="109"/>
        <v>8308.4112615079412</v>
      </c>
      <c r="AQ34" s="2">
        <f t="shared" si="109"/>
        <v>8225.3271488928622</v>
      </c>
      <c r="AR34" s="2">
        <f t="shared" si="109"/>
        <v>8143.0738774039337</v>
      </c>
      <c r="AS34" s="2">
        <f t="shared" si="109"/>
        <v>8061.6431386298946</v>
      </c>
      <c r="AT34" s="2">
        <f t="shared" si="109"/>
        <v>7981.0267072435954</v>
      </c>
      <c r="AU34" s="2">
        <f t="shared" si="109"/>
        <v>7901.2164401711598</v>
      </c>
      <c r="AV34" s="2">
        <f t="shared" si="109"/>
        <v>7822.204275769448</v>
      </c>
      <c r="AW34" s="2">
        <f t="shared" si="109"/>
        <v>7743.9822330117531</v>
      </c>
      <c r="AX34" s="2">
        <f t="shared" si="109"/>
        <v>7666.5424106816354</v>
      </c>
      <c r="AY34" s="2">
        <f t="shared" si="109"/>
        <v>7589.8769865748191</v>
      </c>
      <c r="AZ34" s="2">
        <f t="shared" si="109"/>
        <v>7513.9782167090707</v>
      </c>
      <c r="BA34" s="2">
        <f t="shared" si="109"/>
        <v>7438.83843454198</v>
      </c>
      <c r="BB34" s="2">
        <f t="shared" si="109"/>
        <v>7364.4500501965604</v>
      </c>
      <c r="BC34" s="2">
        <f t="shared" si="109"/>
        <v>7290.8055496945944</v>
      </c>
      <c r="BD34" s="2">
        <f t="shared" si="109"/>
        <v>7217.8974941976485</v>
      </c>
      <c r="BE34" s="2">
        <f t="shared" si="109"/>
        <v>7145.7185192556717</v>
      </c>
      <c r="BF34" s="2">
        <f t="shared" si="109"/>
        <v>7074.2613340631151</v>
      </c>
      <c r="BG34" s="2">
        <f t="shared" si="109"/>
        <v>7003.5187207224835</v>
      </c>
      <c r="BH34" s="2">
        <f t="shared" si="109"/>
        <v>6933.4835335152584</v>
      </c>
      <c r="BI34" s="2">
        <f t="shared" si="109"/>
        <v>6864.1486981801054</v>
      </c>
      <c r="BJ34" s="2">
        <f t="shared" si="109"/>
        <v>6795.5072111983045</v>
      </c>
      <c r="BK34" s="2">
        <f t="shared" si="109"/>
        <v>6727.5521390863214</v>
      </c>
      <c r="BL34" s="2">
        <f t="shared" si="109"/>
        <v>6660.2766176954583</v>
      </c>
      <c r="BM34" s="2">
        <f t="shared" si="109"/>
        <v>6593.6738515185034</v>
      </c>
      <c r="BN34" s="2">
        <f t="shared" si="109"/>
        <v>6527.737113003318</v>
      </c>
      <c r="BO34" s="2">
        <f t="shared" si="109"/>
        <v>6462.4597418732847</v>
      </c>
      <c r="BP34" s="2">
        <f t="shared" si="109"/>
        <v>6397.8351444545515</v>
      </c>
      <c r="BQ34" s="2">
        <f t="shared" si="109"/>
        <v>6333.8567930100062</v>
      </c>
      <c r="BR34" s="2">
        <f t="shared" si="109"/>
        <v>6270.5182250799062</v>
      </c>
      <c r="BS34" s="2">
        <f t="shared" si="109"/>
        <v>6207.813042829107</v>
      </c>
      <c r="BT34" s="2">
        <f t="shared" si="109"/>
        <v>6145.734912400816</v>
      </c>
      <c r="BU34" s="2">
        <f t="shared" si="109"/>
        <v>6084.277563276808</v>
      </c>
      <c r="BV34" s="2">
        <f t="shared" si="109"/>
        <v>6023.4347876440397</v>
      </c>
      <c r="BW34" s="2">
        <f t="shared" si="109"/>
        <v>5963.2004397675992</v>
      </c>
      <c r="BX34" s="2">
        <f t="shared" si="109"/>
        <v>5903.5684353699235</v>
      </c>
      <c r="BY34" s="2">
        <f t="shared" si="109"/>
        <v>5844.5327510162242</v>
      </c>
      <c r="BZ34" s="2">
        <f t="shared" si="109"/>
        <v>5786.0874235060619</v>
      </c>
      <c r="CA34" s="2">
        <f t="shared" si="109"/>
        <v>5728.2265492710012</v>
      </c>
      <c r="CB34" s="2">
        <f t="shared" si="109"/>
        <v>5670.9442837782908</v>
      </c>
      <c r="CC34" s="2">
        <f t="shared" si="109"/>
        <v>5614.2348409405076</v>
      </c>
      <c r="CD34" s="2">
        <f t="shared" si="109"/>
        <v>5558.0924925311028</v>
      </c>
      <c r="CE34" s="2">
        <f t="shared" si="109"/>
        <v>5502.5115676057922</v>
      </c>
      <c r="CF34" s="2">
        <f t="shared" si="109"/>
        <v>5447.4864519297344</v>
      </c>
      <c r="CG34" s="2">
        <f t="shared" si="109"/>
        <v>5393.0115874104367</v>
      </c>
      <c r="CH34" s="2">
        <f t="shared" si="109"/>
        <v>5339.0814715363322</v>
      </c>
      <c r="CI34" s="2">
        <f t="shared" si="109"/>
        <v>5285.6906568209688</v>
      </c>
      <c r="CJ34" s="2">
        <f t="shared" si="109"/>
        <v>5232.8337502527593</v>
      </c>
      <c r="CK34" s="2">
        <f t="shared" si="109"/>
        <v>5180.5054127502317</v>
      </c>
      <c r="CL34" s="2">
        <f t="shared" si="109"/>
        <v>5128.7003586227293</v>
      </c>
      <c r="CM34" s="2">
        <f t="shared" si="109"/>
        <v>5077.4133550365023</v>
      </c>
      <c r="CN34" s="2">
        <f t="shared" si="109"/>
        <v>5026.6392214861371</v>
      </c>
      <c r="CO34" s="2">
        <f t="shared" si="109"/>
        <v>4976.3728292712758</v>
      </c>
      <c r="CP34" s="2">
        <f t="shared" si="109"/>
        <v>4926.6091009785632</v>
      </c>
      <c r="CQ34" s="2">
        <f t="shared" si="109"/>
        <v>4877.3430099687776</v>
      </c>
      <c r="CR34" s="2">
        <f t="shared" si="109"/>
        <v>4828.5695798690895</v>
      </c>
      <c r="CS34" s="2">
        <f t="shared" si="109"/>
        <v>4780.2838840703989</v>
      </c>
      <c r="CT34" s="2">
        <f t="shared" si="109"/>
        <v>4732.4810452296952</v>
      </c>
      <c r="CU34" s="2">
        <f t="shared" si="109"/>
        <v>4685.1562347773979</v>
      </c>
      <c r="CV34" s="2">
        <f t="shared" si="109"/>
        <v>4638.3046724296237</v>
      </c>
      <c r="CW34" s="2">
        <f t="shared" si="109"/>
        <v>4591.9216257053276</v>
      </c>
      <c r="CX34" s="2">
        <f t="shared" ref="CX34:EF34" si="110">CW34*(1+$AM$44)</f>
        <v>4546.0024094482742</v>
      </c>
      <c r="CY34" s="2">
        <f t="shared" si="110"/>
        <v>4500.5423853537914</v>
      </c>
      <c r="CZ34" s="2">
        <f t="shared" si="110"/>
        <v>4455.5369615002537</v>
      </c>
      <c r="DA34" s="2">
        <f t="shared" si="110"/>
        <v>4410.981591885251</v>
      </c>
      <c r="DB34" s="2">
        <f t="shared" si="110"/>
        <v>4366.8717759663987</v>
      </c>
      <c r="DC34" s="2">
        <f t="shared" si="110"/>
        <v>4323.2030582067346</v>
      </c>
      <c r="DD34" s="2">
        <f t="shared" si="110"/>
        <v>4279.9710276246669</v>
      </c>
      <c r="DE34" s="2">
        <f t="shared" si="110"/>
        <v>4237.1713173484204</v>
      </c>
      <c r="DF34" s="2">
        <f t="shared" si="110"/>
        <v>4194.7996041749366</v>
      </c>
      <c r="DG34" s="2">
        <f t="shared" si="110"/>
        <v>4152.8516081331873</v>
      </c>
      <c r="DH34" s="2">
        <f t="shared" si="110"/>
        <v>4111.3230920518554</v>
      </c>
      <c r="DI34" s="2">
        <f t="shared" si="110"/>
        <v>4070.2098611313368</v>
      </c>
      <c r="DJ34" s="2">
        <f t="shared" si="110"/>
        <v>4029.5077625200233</v>
      </c>
      <c r="DK34" s="2">
        <f t="shared" si="110"/>
        <v>3989.2126848948233</v>
      </c>
      <c r="DL34" s="2">
        <f t="shared" si="110"/>
        <v>3949.3205580458748</v>
      </c>
      <c r="DM34" s="2">
        <f t="shared" si="110"/>
        <v>3909.827352465416</v>
      </c>
      <c r="DN34" s="2">
        <f t="shared" si="110"/>
        <v>3870.7290789407616</v>
      </c>
      <c r="DO34" s="2">
        <f t="shared" si="110"/>
        <v>3832.021788151354</v>
      </c>
      <c r="DP34" s="2">
        <f t="shared" si="110"/>
        <v>3793.7015702698404</v>
      </c>
      <c r="DQ34" s="2">
        <f t="shared" si="110"/>
        <v>3755.7645545671421</v>
      </c>
      <c r="DR34" s="2">
        <f t="shared" si="110"/>
        <v>3718.2069090214704</v>
      </c>
      <c r="DS34" s="2">
        <f t="shared" si="110"/>
        <v>3681.0248399312559</v>
      </c>
      <c r="DT34" s="2">
        <f t="shared" si="110"/>
        <v>3644.2145915319434</v>
      </c>
      <c r="DU34" s="2">
        <f t="shared" si="110"/>
        <v>3607.7724456166238</v>
      </c>
      <c r="DV34" s="2">
        <f t="shared" si="110"/>
        <v>3571.6947211604574</v>
      </c>
      <c r="DW34" s="2">
        <f t="shared" si="110"/>
        <v>3535.9777739488527</v>
      </c>
      <c r="DX34" s="2">
        <f t="shared" si="110"/>
        <v>3500.6179962093643</v>
      </c>
      <c r="DY34" s="2">
        <f t="shared" si="110"/>
        <v>3465.6118162472708</v>
      </c>
      <c r="DZ34" s="2">
        <f t="shared" si="110"/>
        <v>3430.9556980847979</v>
      </c>
      <c r="EA34" s="2">
        <f t="shared" si="110"/>
        <v>3396.64614110395</v>
      </c>
      <c r="EB34" s="2">
        <f t="shared" si="110"/>
        <v>3362.6796796929102</v>
      </c>
      <c r="EC34" s="2">
        <f t="shared" si="110"/>
        <v>3329.0528828959809</v>
      </c>
      <c r="ED34" s="2">
        <f t="shared" si="110"/>
        <v>3295.7623540670211</v>
      </c>
      <c r="EE34" s="2">
        <f t="shared" si="110"/>
        <v>3262.8047305263508</v>
      </c>
      <c r="EF34" s="2">
        <f t="shared" si="110"/>
        <v>3230.1766832210874</v>
      </c>
    </row>
    <row r="35" spans="2:136" x14ac:dyDescent="0.3">
      <c r="B35" s="1" t="s">
        <v>2</v>
      </c>
      <c r="C35" s="6">
        <f>637.5</f>
        <v>637.5</v>
      </c>
      <c r="D35" s="6">
        <f>637.5</f>
        <v>637.5</v>
      </c>
      <c r="G35" s="6">
        <f t="shared" ref="G35:P35" si="111">637.5</f>
        <v>637.5</v>
      </c>
      <c r="H35" s="6">
        <f t="shared" si="111"/>
        <v>637.5</v>
      </c>
      <c r="I35" s="6">
        <f t="shared" si="111"/>
        <v>637.5</v>
      </c>
      <c r="J35" s="6">
        <f t="shared" si="111"/>
        <v>637.5</v>
      </c>
      <c r="K35" s="6">
        <f t="shared" si="111"/>
        <v>637.5</v>
      </c>
      <c r="L35" s="6">
        <f t="shared" si="111"/>
        <v>637.5</v>
      </c>
      <c r="M35" s="6">
        <f t="shared" si="111"/>
        <v>637.5</v>
      </c>
      <c r="N35" s="6">
        <f t="shared" si="111"/>
        <v>637.5</v>
      </c>
      <c r="O35" s="6">
        <f t="shared" si="111"/>
        <v>637.5</v>
      </c>
      <c r="P35" s="6">
        <f t="shared" si="111"/>
        <v>637.5</v>
      </c>
      <c r="Q35" s="6">
        <v>634.9</v>
      </c>
      <c r="R35" s="6">
        <v>634.9</v>
      </c>
      <c r="T35" s="6">
        <f t="shared" ref="T35:Y35" si="112">649.9</f>
        <v>649.9</v>
      </c>
      <c r="U35" s="6">
        <f t="shared" si="112"/>
        <v>649.9</v>
      </c>
      <c r="V35" s="6">
        <f t="shared" si="112"/>
        <v>649.9</v>
      </c>
      <c r="W35" s="6">
        <f t="shared" si="112"/>
        <v>649.9</v>
      </c>
      <c r="X35" s="6">
        <f t="shared" si="112"/>
        <v>649.9</v>
      </c>
      <c r="Y35" s="6">
        <f t="shared" si="112"/>
        <v>649.9</v>
      </c>
      <c r="Z35" s="6">
        <v>634.9</v>
      </c>
      <c r="AA35" s="6">
        <v>634.9</v>
      </c>
      <c r="AB35" s="6">
        <v>634.9</v>
      </c>
      <c r="AC35" s="6">
        <v>634.9</v>
      </c>
      <c r="AD35" s="6">
        <v>634.9</v>
      </c>
      <c r="AE35" s="6">
        <v>634.9</v>
      </c>
      <c r="AF35" s="6">
        <v>634.9</v>
      </c>
      <c r="AG35" s="6">
        <v>634.9</v>
      </c>
      <c r="AH35" s="6">
        <v>634.9</v>
      </c>
      <c r="AI35" s="6">
        <v>634.9</v>
      </c>
      <c r="AJ35" s="6">
        <v>634.9</v>
      </c>
    </row>
    <row r="36" spans="2:136" x14ac:dyDescent="0.3">
      <c r="B36" s="1" t="s">
        <v>31</v>
      </c>
      <c r="C36" s="8">
        <f t="shared" ref="C36" si="113">C34/C35</f>
        <v>1.7788235294117647</v>
      </c>
      <c r="D36" s="8">
        <f t="shared" ref="D36" si="114">D34/D35</f>
        <v>1.9780392156862745</v>
      </c>
      <c r="G36" s="8">
        <f t="shared" ref="G36" si="115">G34/G35</f>
        <v>2.1866666666666665</v>
      </c>
      <c r="H36" s="8">
        <f t="shared" ref="H36:I36" si="116">H34/H35</f>
        <v>2.3325490196078431</v>
      </c>
      <c r="I36" s="8">
        <f t="shared" si="116"/>
        <v>2.3749019607843138</v>
      </c>
      <c r="J36" s="8">
        <f t="shared" ref="J36:K36" si="117">J34/J35</f>
        <v>1.9811764705882353</v>
      </c>
      <c r="K36" s="8">
        <f t="shared" si="117"/>
        <v>2.2949019607843137</v>
      </c>
      <c r="L36" s="8">
        <f t="shared" ref="L36:M36" si="118">L34/L35</f>
        <v>2.4219607843137254</v>
      </c>
      <c r="M36" s="8">
        <f t="shared" si="118"/>
        <v>2.216470588235294</v>
      </c>
      <c r="N36" s="8">
        <f t="shared" ref="N36" si="119">N34/N35</f>
        <v>2.0156862745098039</v>
      </c>
      <c r="O36" s="8">
        <f t="shared" ref="O36:P36" si="120">O34/O35</f>
        <v>2.2729411764705882</v>
      </c>
      <c r="P36" s="8">
        <f t="shared" si="120"/>
        <v>2.4627450980392158</v>
      </c>
      <c r="Q36" s="8">
        <f t="shared" ref="Q36:R36" si="121">Q34/Q35</f>
        <v>2.8744684202236574</v>
      </c>
      <c r="R36" s="8">
        <f t="shared" si="121"/>
        <v>2.0536984595999352</v>
      </c>
      <c r="T36" s="8">
        <f t="shared" ref="T36:Y36" si="122">T34/T35</f>
        <v>9.4522234189875363</v>
      </c>
      <c r="U36" s="8">
        <f t="shared" si="122"/>
        <v>7.3534389906139408</v>
      </c>
      <c r="V36" s="8">
        <f t="shared" si="122"/>
        <v>8.5274657639636864</v>
      </c>
      <c r="W36" s="8">
        <f t="shared" si="122"/>
        <v>7.6411755654716114</v>
      </c>
      <c r="X36" s="8">
        <f t="shared" si="122"/>
        <v>8.7059547622711193</v>
      </c>
      <c r="Y36" s="8">
        <f t="shared" si="122"/>
        <v>8.778273580550854</v>
      </c>
      <c r="Z36" s="8">
        <f t="shared" ref="Z36:AJ36" si="123">Z34/Z35</f>
        <v>9.6832464199086488</v>
      </c>
      <c r="AA36" s="8">
        <f t="shared" si="123"/>
        <v>10.696251937123961</v>
      </c>
      <c r="AB36" s="8">
        <f t="shared" si="123"/>
        <v>11.381333519820441</v>
      </c>
      <c r="AC36" s="8">
        <f t="shared" si="123"/>
        <v>12.07207930434739</v>
      </c>
      <c r="AD36" s="8">
        <f t="shared" si="123"/>
        <v>12.597447627044625</v>
      </c>
      <c r="AE36" s="8">
        <f t="shared" si="123"/>
        <v>12.999063145178438</v>
      </c>
      <c r="AF36" s="8">
        <f t="shared" si="123"/>
        <v>13.173791793707879</v>
      </c>
      <c r="AG36" s="8">
        <f t="shared" si="123"/>
        <v>13.351162489064176</v>
      </c>
      <c r="AH36" s="8">
        <f t="shared" si="123"/>
        <v>13.531219546922413</v>
      </c>
      <c r="AI36" s="8">
        <f t="shared" si="123"/>
        <v>13.714008084018579</v>
      </c>
      <c r="AJ36" s="8">
        <f t="shared" si="123"/>
        <v>13.899574033318252</v>
      </c>
    </row>
    <row r="38" spans="2:136" x14ac:dyDescent="0.3">
      <c r="B38" s="1" t="s">
        <v>74</v>
      </c>
      <c r="Q38" s="10">
        <f>Q10/M10-1</f>
        <v>0.15311860940695299</v>
      </c>
    </row>
    <row r="39" spans="2:136" x14ac:dyDescent="0.3">
      <c r="B39" s="1" t="s">
        <v>75</v>
      </c>
      <c r="Q39" s="10">
        <f t="shared" ref="Q39:Q41" si="124">Q11/M11-1</f>
        <v>-9.076369452219113E-2</v>
      </c>
    </row>
    <row r="40" spans="2:136" x14ac:dyDescent="0.3">
      <c r="B40" s="1" t="s">
        <v>76</v>
      </c>
      <c r="Q40" s="10">
        <f t="shared" si="124"/>
        <v>7.6217765042979835E-2</v>
      </c>
    </row>
    <row r="41" spans="2:136" x14ac:dyDescent="0.3">
      <c r="B41" s="1" t="s">
        <v>77</v>
      </c>
      <c r="Q41" s="10">
        <f t="shared" si="124"/>
        <v>0.11452335252719137</v>
      </c>
    </row>
    <row r="43" spans="2:136" x14ac:dyDescent="0.3">
      <c r="B43" s="1" t="s">
        <v>47</v>
      </c>
      <c r="C43" s="10"/>
      <c r="D43" s="10"/>
      <c r="G43" s="10">
        <f>G16/C16-1</f>
        <v>2.9028049575994697E-2</v>
      </c>
      <c r="H43" s="10">
        <f>H16/D16-1</f>
        <v>-3.6355475763016121E-2</v>
      </c>
      <c r="I43" s="10"/>
      <c r="J43" s="10"/>
      <c r="K43" s="10">
        <f t="shared" ref="K43:L44" si="125">K16/G16-1</f>
        <v>-7.4484944532487996E-3</v>
      </c>
      <c r="L43" s="10">
        <f t="shared" si="125"/>
        <v>5.5891942244992165E-3</v>
      </c>
      <c r="M43" s="10">
        <f>M16/I16-1</f>
        <v>4.7028916428344392E-2</v>
      </c>
      <c r="N43" s="10">
        <f>N16/J16-1</f>
        <v>3.2847800237812086E-2</v>
      </c>
      <c r="O43" s="10">
        <f>O16/K16-1</f>
        <v>6.0993134280696193E-2</v>
      </c>
      <c r="P43" s="10">
        <f>P16/L16-1</f>
        <v>9.911996294580816E-2</v>
      </c>
      <c r="Q43" s="10">
        <f t="shared" ref="Q43:R44" si="126">Q16/M16-1</f>
        <v>7.5265553869499291E-2</v>
      </c>
      <c r="R43" s="10">
        <f t="shared" si="126"/>
        <v>4.0000000000000036E-2</v>
      </c>
      <c r="T43" s="10"/>
      <c r="U43" s="10">
        <f t="shared" ref="U43:Y45" si="127">U16/T16-1</f>
        <v>-0.10467262658800536</v>
      </c>
      <c r="V43" s="10">
        <f t="shared" si="127"/>
        <v>3.6625298136394813E-2</v>
      </c>
      <c r="W43" s="10">
        <f t="shared" si="127"/>
        <v>1.2362048122294578E-2</v>
      </c>
      <c r="X43" s="10">
        <f t="shared" si="127"/>
        <v>-7.2033898305084998E-3</v>
      </c>
      <c r="Y43" s="10">
        <f t="shared" si="127"/>
        <v>1.9632949210413919E-2</v>
      </c>
      <c r="Z43" s="10">
        <f t="shared" ref="Z43:Z45" si="128">Z16/Y16-1</f>
        <v>6.8418128543703993E-2</v>
      </c>
      <c r="AA43" s="10">
        <f t="shared" ref="AA43:AA45" si="129">AA16/Z16-1</f>
        <v>6.0000000000000053E-2</v>
      </c>
      <c r="AB43" s="10">
        <f t="shared" ref="AB43:AB45" si="130">AB16/AA16-1</f>
        <v>5.0000000000000044E-2</v>
      </c>
      <c r="AC43" s="10">
        <f t="shared" ref="AC43:AC45" si="131">AC16/AB16-1</f>
        <v>4.0000000000000036E-2</v>
      </c>
      <c r="AD43" s="10">
        <f t="shared" ref="AD43:AD45" si="132">AD16/AC16-1</f>
        <v>3.0000000000000027E-2</v>
      </c>
      <c r="AE43" s="10">
        <f t="shared" ref="AE43:AE45" si="133">AE16/AD16-1</f>
        <v>2.0000000000000018E-2</v>
      </c>
      <c r="AF43" s="10">
        <f t="shared" ref="AF43:AF45" si="134">AF16/AE16-1</f>
        <v>1.0000000000000009E-2</v>
      </c>
      <c r="AG43" s="10">
        <f t="shared" ref="AG43:AG45" si="135">AG16/AF16-1</f>
        <v>1.0000000000000009E-2</v>
      </c>
      <c r="AH43" s="10">
        <f t="shared" ref="AH43:AH45" si="136">AH16/AG16-1</f>
        <v>1.0000000000000009E-2</v>
      </c>
      <c r="AI43" s="10">
        <f t="shared" ref="AI43:AI45" si="137">AI16/AH16-1</f>
        <v>1.0000000000000009E-2</v>
      </c>
      <c r="AJ43" s="10">
        <f t="shared" ref="AJ43:AJ45" si="138">AJ16/AI16-1</f>
        <v>1.0000000000000009E-2</v>
      </c>
    </row>
    <row r="44" spans="2:136" x14ac:dyDescent="0.3">
      <c r="B44" s="1" t="s">
        <v>48</v>
      </c>
      <c r="C44" s="10"/>
      <c r="D44" s="10"/>
      <c r="G44" s="10">
        <f t="shared" ref="G44:H44" si="139">G17/C17-1</f>
        <v>0.1381461675579323</v>
      </c>
      <c r="H44" s="10">
        <f t="shared" si="139"/>
        <v>0.19215513442044951</v>
      </c>
      <c r="I44" s="10"/>
      <c r="J44" s="10"/>
      <c r="K44" s="10">
        <f t="shared" si="125"/>
        <v>0.11276429130775245</v>
      </c>
      <c r="L44" s="10">
        <f t="shared" si="125"/>
        <v>0.14602587800369693</v>
      </c>
      <c r="M44" s="10">
        <f t="shared" ref="M44:P44" si="140">M17/I17-1</f>
        <v>7.5394105551747748E-2</v>
      </c>
      <c r="N44" s="10">
        <f t="shared" si="140"/>
        <v>0.15744837758112085</v>
      </c>
      <c r="O44" s="10">
        <f t="shared" si="140"/>
        <v>0.11787473610133703</v>
      </c>
      <c r="P44" s="10">
        <f t="shared" si="140"/>
        <v>4.2903225806451672E-2</v>
      </c>
      <c r="Q44" s="10">
        <f t="shared" si="126"/>
        <v>5.8636073932440969E-2</v>
      </c>
      <c r="R44" s="10">
        <f t="shared" si="126"/>
        <v>6.0000000000000053E-2</v>
      </c>
      <c r="T44" s="10"/>
      <c r="U44" s="10">
        <f t="shared" si="127"/>
        <v>-0.12995594713656389</v>
      </c>
      <c r="V44" s="10">
        <f t="shared" si="127"/>
        <v>0.10746835443037983</v>
      </c>
      <c r="W44" s="10">
        <f t="shared" si="127"/>
        <v>8.6524174191336067E-2</v>
      </c>
      <c r="X44" s="10">
        <f t="shared" si="127"/>
        <v>0.14548706080370288</v>
      </c>
      <c r="Y44" s="10">
        <f t="shared" si="127"/>
        <v>0.12214161079988983</v>
      </c>
      <c r="Z44" s="10">
        <f t="shared" si="128"/>
        <v>6.8773222031262904E-2</v>
      </c>
      <c r="AA44" s="10">
        <f t="shared" si="129"/>
        <v>6.0000000000000053E-2</v>
      </c>
      <c r="AB44" s="10">
        <f t="shared" si="130"/>
        <v>5.0000000000000044E-2</v>
      </c>
      <c r="AC44" s="10">
        <f t="shared" si="131"/>
        <v>4.0000000000000036E-2</v>
      </c>
      <c r="AD44" s="10">
        <f t="shared" si="132"/>
        <v>3.0000000000000027E-2</v>
      </c>
      <c r="AE44" s="10">
        <f t="shared" si="133"/>
        <v>3.0000000000000027E-2</v>
      </c>
      <c r="AF44" s="10">
        <f t="shared" si="134"/>
        <v>2.0000000000000018E-2</v>
      </c>
      <c r="AG44" s="10">
        <f t="shared" si="135"/>
        <v>2.0000000000000018E-2</v>
      </c>
      <c r="AH44" s="10">
        <f t="shared" si="136"/>
        <v>2.0000000000000018E-2</v>
      </c>
      <c r="AI44" s="10">
        <f t="shared" si="137"/>
        <v>2.0000000000000018E-2</v>
      </c>
      <c r="AJ44" s="10">
        <f t="shared" si="138"/>
        <v>2.0000000000000018E-2</v>
      </c>
      <c r="AL44" s="1" t="s">
        <v>57</v>
      </c>
      <c r="AM44" s="10">
        <v>-0.01</v>
      </c>
    </row>
    <row r="45" spans="2:136" s="2" customFormat="1" x14ac:dyDescent="0.3">
      <c r="B45" s="2" t="s">
        <v>49</v>
      </c>
      <c r="C45" s="11"/>
      <c r="D45" s="11"/>
      <c r="G45" s="11">
        <f>G18/C18-1</f>
        <v>5.8261700095511015E-2</v>
      </c>
      <c r="H45" s="11">
        <f>H18/D18-1</f>
        <v>2.1557019993298399E-2</v>
      </c>
      <c r="I45" s="11"/>
      <c r="J45" s="11"/>
      <c r="K45" s="11">
        <f t="shared" ref="K45:L45" si="141">K18/G18-1</f>
        <v>2.7188628158844708E-2</v>
      </c>
      <c r="L45" s="11">
        <f t="shared" si="141"/>
        <v>4.7124425978569917E-2</v>
      </c>
      <c r="M45" s="11">
        <f>M18/I18-1</f>
        <v>5.6013894919670015E-2</v>
      </c>
      <c r="N45" s="11">
        <f>N18/J18-1</f>
        <v>6.8644067796610253E-2</v>
      </c>
      <c r="O45" s="11">
        <f>O18/K18-1</f>
        <v>7.8747940691927587E-2</v>
      </c>
      <c r="P45" s="11">
        <f>P18/L18-1</f>
        <v>8.092304479482082E-2</v>
      </c>
      <c r="Q45" s="11">
        <f t="shared" ref="Q45:R45" si="142">Q18/M18-1</f>
        <v>6.9901315789473673E-2</v>
      </c>
      <c r="R45" s="11">
        <f t="shared" si="142"/>
        <v>4.6223235527359074E-2</v>
      </c>
      <c r="T45" s="11"/>
      <c r="U45" s="11">
        <f t="shared" si="127"/>
        <v>-0.11092647579612624</v>
      </c>
      <c r="V45" s="11">
        <f t="shared" si="127"/>
        <v>5.377332475411345E-2</v>
      </c>
      <c r="W45" s="11">
        <f t="shared" si="127"/>
        <v>3.1228192602930971E-2</v>
      </c>
      <c r="X45" s="11">
        <f t="shared" si="127"/>
        <v>3.3722438391699194E-2</v>
      </c>
      <c r="Y45" s="11">
        <f t="shared" si="127"/>
        <v>5.0079100976487823E-2</v>
      </c>
      <c r="Z45" s="11">
        <f t="shared" si="128"/>
        <v>6.8530832770533623E-2</v>
      </c>
      <c r="AA45" s="11">
        <f t="shared" si="129"/>
        <v>6.0000000000000053E-2</v>
      </c>
      <c r="AB45" s="11">
        <f t="shared" si="130"/>
        <v>4.9999999999999822E-2</v>
      </c>
      <c r="AC45" s="11">
        <f t="shared" si="131"/>
        <v>4.0000000000000036E-2</v>
      </c>
      <c r="AD45" s="11">
        <f t="shared" si="132"/>
        <v>3.0000000000000027E-2</v>
      </c>
      <c r="AE45" s="11">
        <f t="shared" si="133"/>
        <v>2.3174651098907706E-2</v>
      </c>
      <c r="AF45" s="11">
        <f t="shared" si="134"/>
        <v>1.3195828423195444E-2</v>
      </c>
      <c r="AG45" s="11">
        <f t="shared" si="135"/>
        <v>1.3217290182424568E-2</v>
      </c>
      <c r="AH45" s="11">
        <f t="shared" si="136"/>
        <v>1.323882746363525E-2</v>
      </c>
      <c r="AI45" s="11">
        <f t="shared" si="137"/>
        <v>1.3260439615384145E-2</v>
      </c>
      <c r="AJ45" s="11">
        <f t="shared" si="138"/>
        <v>1.3282125974398484E-2</v>
      </c>
      <c r="AL45" s="1" t="s">
        <v>58</v>
      </c>
      <c r="AM45" s="10">
        <v>0.06</v>
      </c>
    </row>
    <row r="46" spans="2:136" x14ac:dyDescent="0.3">
      <c r="B46" s="1" t="s">
        <v>50</v>
      </c>
      <c r="C46" s="10">
        <f t="shared" ref="C46" si="143">(C16-C19)/C16</f>
        <v>0.33806262230919765</v>
      </c>
      <c r="D46" s="10">
        <f t="shared" ref="D46" si="144">(D16-D19)/D16</f>
        <v>0.35233393177737882</v>
      </c>
      <c r="G46" s="10">
        <f t="shared" ref="G46" si="145">(G16-G19)/G16</f>
        <v>0.35530903328050711</v>
      </c>
      <c r="H46" s="10">
        <f t="shared" ref="H46:I46" si="146">(H16-H19)/H16</f>
        <v>0.35832945194845522</v>
      </c>
      <c r="I46" s="10">
        <f t="shared" si="146"/>
        <v>0.35017476962186211</v>
      </c>
      <c r="J46" s="10">
        <f t="shared" ref="J46:K46" si="147">(J16-J19)/J16</f>
        <v>0.3035077288941736</v>
      </c>
      <c r="K46" s="10">
        <f t="shared" si="147"/>
        <v>0.35574006067379849</v>
      </c>
      <c r="L46" s="10">
        <f t="shared" ref="L46:M47" si="148">(L16-L19)/L16</f>
        <v>0.34429519839431838</v>
      </c>
      <c r="M46" s="10">
        <f t="shared" si="148"/>
        <v>0.3678300455235205</v>
      </c>
      <c r="N46" s="10">
        <f t="shared" ref="N46" si="149">(N16-N19)/N16</f>
        <v>0.31227514750323787</v>
      </c>
      <c r="O46" s="10">
        <f t="shared" ref="O46:P46" si="150">(O16-O19)/O16</f>
        <v>0.36027088036117383</v>
      </c>
      <c r="P46" s="10">
        <f t="shared" si="150"/>
        <v>0.36114622840286559</v>
      </c>
      <c r="Q46" s="10">
        <f t="shared" ref="Q46:R46" si="151">(Q16-Q19)/Q16</f>
        <v>0.33192209991532601</v>
      </c>
      <c r="R46" s="10">
        <f t="shared" si="151"/>
        <v>0.32</v>
      </c>
      <c r="T46" s="10">
        <f t="shared" ref="T46:Y47" si="152">(T16-T19)/T16</f>
        <v>0.30258062181041662</v>
      </c>
      <c r="U46" s="10">
        <f t="shared" si="152"/>
        <v>0.28697901928285563</v>
      </c>
      <c r="V46" s="10">
        <f t="shared" si="152"/>
        <v>0.28463908279062511</v>
      </c>
      <c r="W46" s="10">
        <f t="shared" si="152"/>
        <v>0.34687981510015409</v>
      </c>
      <c r="X46" s="10">
        <f t="shared" si="152"/>
        <v>0.34128739378419276</v>
      </c>
      <c r="Y46" s="10">
        <f t="shared" si="152"/>
        <v>0.34445755165721681</v>
      </c>
      <c r="Z46" s="10">
        <f t="shared" ref="Z46:AJ46" si="153">(Z16-Z19)/Z16</f>
        <v>0.34297257252921964</v>
      </c>
      <c r="AA46" s="10">
        <f t="shared" si="153"/>
        <v>0.34</v>
      </c>
      <c r="AB46" s="10">
        <f t="shared" si="153"/>
        <v>0.33999999999999997</v>
      </c>
      <c r="AC46" s="10">
        <f t="shared" si="153"/>
        <v>0.33999999999999991</v>
      </c>
      <c r="AD46" s="10">
        <f t="shared" si="153"/>
        <v>0.33999999999999997</v>
      </c>
      <c r="AE46" s="10">
        <f t="shared" si="153"/>
        <v>0.33999999999999991</v>
      </c>
      <c r="AF46" s="10">
        <f t="shared" si="153"/>
        <v>0.33999999999999997</v>
      </c>
      <c r="AG46" s="10">
        <f t="shared" si="153"/>
        <v>0.33999999999999997</v>
      </c>
      <c r="AH46" s="10">
        <f t="shared" si="153"/>
        <v>0.33999999999999997</v>
      </c>
      <c r="AI46" s="10">
        <f t="shared" si="153"/>
        <v>0.34</v>
      </c>
      <c r="AJ46" s="10">
        <f t="shared" si="153"/>
        <v>0.34</v>
      </c>
      <c r="AL46" s="1" t="s">
        <v>59</v>
      </c>
      <c r="AM46" s="6">
        <f>NPV(AM45,Z34:EF34)</f>
        <v>126930.11267110065</v>
      </c>
    </row>
    <row r="47" spans="2:136" x14ac:dyDescent="0.3">
      <c r="B47" s="1" t="s">
        <v>51</v>
      </c>
      <c r="C47" s="10">
        <f t="shared" ref="C47" si="154">(C17-C20)/C17</f>
        <v>0.43627450980392157</v>
      </c>
      <c r="D47" s="10">
        <f t="shared" ref="D47" si="155">(D17-D20)/D17</f>
        <v>0.4133979726751873</v>
      </c>
      <c r="G47" s="10">
        <f t="shared" ref="G47" si="156">(G17-G20)/G17</f>
        <v>0.44009397024275648</v>
      </c>
      <c r="H47" s="10">
        <f t="shared" ref="H47:I47" si="157">(H17-H20)/H17</f>
        <v>0.44805914972273569</v>
      </c>
      <c r="I47" s="10">
        <f t="shared" si="157"/>
        <v>0.45853324194653872</v>
      </c>
      <c r="J47" s="10">
        <f t="shared" ref="J47:K47" si="158">(J17-J20)/J17</f>
        <v>0.4413716814159292</v>
      </c>
      <c r="K47" s="10">
        <f t="shared" si="158"/>
        <v>0.45531315974665726</v>
      </c>
      <c r="L47" s="10">
        <f t="shared" si="148"/>
        <v>0.48096774193548386</v>
      </c>
      <c r="M47" s="10">
        <f t="shared" si="148"/>
        <v>0.42224346717654559</v>
      </c>
      <c r="N47" s="10">
        <f t="shared" ref="N47" si="159">(N17-N20)/N17</f>
        <v>0.47785919082510353</v>
      </c>
      <c r="O47" s="10">
        <f t="shared" ref="O47:P47" si="160">(O17-O20)/O17</f>
        <v>0.43783443500157382</v>
      </c>
      <c r="P47" s="10">
        <f t="shared" si="160"/>
        <v>0.44911846582121867</v>
      </c>
      <c r="Q47" s="10">
        <f t="shared" ref="Q47:R47" si="161">(Q17-Q20)/Q17</f>
        <v>0.35972305839855506</v>
      </c>
      <c r="R47" s="10">
        <f t="shared" si="161"/>
        <v>0.45999999999999996</v>
      </c>
      <c r="T47" s="10">
        <f t="shared" si="152"/>
        <v>0.44162995594713655</v>
      </c>
      <c r="U47" s="10">
        <f t="shared" si="152"/>
        <v>0.42645569620253165</v>
      </c>
      <c r="V47" s="10">
        <f t="shared" si="152"/>
        <v>0.42279117613441536</v>
      </c>
      <c r="W47" s="10">
        <f t="shared" si="152"/>
        <v>0.43277929728592468</v>
      </c>
      <c r="X47" s="10">
        <f t="shared" si="152"/>
        <v>0.44733217007989712</v>
      </c>
      <c r="Y47" s="10">
        <f t="shared" si="152"/>
        <v>0.45912104100171863</v>
      </c>
      <c r="Z47" s="10">
        <f t="shared" ref="Z47:AJ47" si="162">(Z17-Z20)/Z17</f>
        <v>0.42640565296561694</v>
      </c>
      <c r="AA47" s="10">
        <f t="shared" si="162"/>
        <v>0.47</v>
      </c>
      <c r="AB47" s="10">
        <f t="shared" si="162"/>
        <v>0.47</v>
      </c>
      <c r="AC47" s="10">
        <f t="shared" si="162"/>
        <v>0.47</v>
      </c>
      <c r="AD47" s="10">
        <f t="shared" si="162"/>
        <v>0.47000000000000003</v>
      </c>
      <c r="AE47" s="10">
        <f t="shared" si="162"/>
        <v>0.46999999999999992</v>
      </c>
      <c r="AF47" s="10">
        <f t="shared" si="162"/>
        <v>0.47000000000000003</v>
      </c>
      <c r="AG47" s="10">
        <f t="shared" si="162"/>
        <v>0.46999999999999992</v>
      </c>
      <c r="AH47" s="10">
        <f t="shared" si="162"/>
        <v>0.47</v>
      </c>
      <c r="AI47" s="10">
        <f t="shared" si="162"/>
        <v>0.47</v>
      </c>
      <c r="AJ47" s="10">
        <f t="shared" si="162"/>
        <v>0.46999999999999992</v>
      </c>
      <c r="AL47" s="1" t="s">
        <v>60</v>
      </c>
      <c r="AM47" s="6">
        <f>Main!D8</f>
        <v>-23678</v>
      </c>
    </row>
    <row r="48" spans="2:136" x14ac:dyDescent="0.3">
      <c r="B48" s="1" t="s">
        <v>52</v>
      </c>
      <c r="C48" s="10">
        <f t="shared" ref="C48" si="163">C22/C18</f>
        <v>0.36437440305635149</v>
      </c>
      <c r="D48" s="10">
        <f t="shared" ref="D48" si="164">D22/D18</f>
        <v>0.36780967273539594</v>
      </c>
      <c r="G48" s="10">
        <f t="shared" ref="G48" si="165">G22/G18</f>
        <v>0.37973826714801445</v>
      </c>
      <c r="H48" s="10">
        <f t="shared" ref="H48:I48" si="166">H22/H18</f>
        <v>0.38486770172753115</v>
      </c>
      <c r="I48" s="10">
        <f t="shared" si="166"/>
        <v>0.38449848024316108</v>
      </c>
      <c r="J48" s="10">
        <f t="shared" ref="J48:K48" si="167">J22/J18</f>
        <v>0.34311440677966104</v>
      </c>
      <c r="K48" s="10">
        <f t="shared" si="167"/>
        <v>0.3868204283360791</v>
      </c>
      <c r="L48" s="10">
        <f t="shared" ref="L48:M48" si="168">L22/L18</f>
        <v>0.38853503184713378</v>
      </c>
      <c r="M48" s="10">
        <f t="shared" si="168"/>
        <v>0.38538240131578949</v>
      </c>
      <c r="N48" s="10">
        <f t="shared" ref="N48" si="169">N22/N18</f>
        <v>0.36379857256145914</v>
      </c>
      <c r="O48" s="10">
        <f t="shared" ref="O48:P48" si="170">O22/O18</f>
        <v>0.38535939727143148</v>
      </c>
      <c r="P48" s="10">
        <f t="shared" si="170"/>
        <v>0.3886205564142195</v>
      </c>
      <c r="Q48" s="10">
        <f t="shared" ref="Q48:R48" si="171">Q22/Q18</f>
        <v>0.3407955418908532</v>
      </c>
      <c r="R48" s="10">
        <f t="shared" si="171"/>
        <v>0.36413628568450768</v>
      </c>
      <c r="T48" s="10">
        <f t="shared" ref="T48:Y48" si="172">T22/T18</f>
        <v>0.3369745838895094</v>
      </c>
      <c r="U48" s="10">
        <f t="shared" si="172"/>
        <v>0.32074026411741274</v>
      </c>
      <c r="V48" s="10">
        <f t="shared" si="172"/>
        <v>0.31978367062107466</v>
      </c>
      <c r="W48" s="10">
        <f t="shared" si="172"/>
        <v>0.36990356961597021</v>
      </c>
      <c r="X48" s="10">
        <f t="shared" si="172"/>
        <v>0.3727838088483989</v>
      </c>
      <c r="Y48" s="10">
        <f t="shared" si="172"/>
        <v>0.38085095329627511</v>
      </c>
      <c r="Z48" s="10">
        <f t="shared" ref="Z48:AJ48" si="173">Z22/Z18</f>
        <v>0.36945966457848661</v>
      </c>
      <c r="AA48" s="10">
        <f t="shared" si="173"/>
        <v>0.38127046428580114</v>
      </c>
      <c r="AB48" s="10">
        <f t="shared" si="173"/>
        <v>0.38127046428580103</v>
      </c>
      <c r="AC48" s="10">
        <f t="shared" si="173"/>
        <v>0.38127046428580103</v>
      </c>
      <c r="AD48" s="10">
        <f t="shared" si="173"/>
        <v>0.38127046428580108</v>
      </c>
      <c r="AE48" s="10">
        <f t="shared" si="173"/>
        <v>0.38154576950154118</v>
      </c>
      <c r="AF48" s="10">
        <f t="shared" si="173"/>
        <v>0.3818247723715183</v>
      </c>
      <c r="AG48" s="10">
        <f t="shared" si="173"/>
        <v>0.38210475702725893</v>
      </c>
      <c r="AH48" s="10">
        <f t="shared" si="173"/>
        <v>0.38238571499999635</v>
      </c>
      <c r="AI48" s="10">
        <f t="shared" si="173"/>
        <v>0.38266763766717948</v>
      </c>
      <c r="AJ48" s="10">
        <f t="shared" si="173"/>
        <v>0.38295051625298548</v>
      </c>
      <c r="AL48" s="1" t="s">
        <v>61</v>
      </c>
      <c r="AM48" s="6">
        <f>AM46+AM47</f>
        <v>103252.11267110065</v>
      </c>
    </row>
    <row r="49" spans="2:39" x14ac:dyDescent="0.3">
      <c r="B49" s="1" t="s">
        <v>54</v>
      </c>
      <c r="C49" s="10"/>
      <c r="D49" s="10"/>
      <c r="G49" s="10">
        <f>G23/C23-1</f>
        <v>2.0000000000000018E-2</v>
      </c>
      <c r="H49" s="10">
        <f t="shared" ref="H49:O49" si="174">H23/D23-1</f>
        <v>-2.8497409326424861E-2</v>
      </c>
      <c r="I49" s="10"/>
      <c r="J49" s="10"/>
      <c r="K49" s="10">
        <f t="shared" si="174"/>
        <v>8.4033613445377853E-3</v>
      </c>
      <c r="L49" s="10">
        <f t="shared" si="174"/>
        <v>1.8666666666666609E-2</v>
      </c>
      <c r="M49" s="10">
        <f t="shared" si="174"/>
        <v>1.098901098901095E-2</v>
      </c>
      <c r="N49" s="10">
        <f t="shared" si="174"/>
        <v>0.18333333333333335</v>
      </c>
      <c r="O49" s="10">
        <f t="shared" si="174"/>
        <v>0.21944444444444455</v>
      </c>
      <c r="P49" s="10">
        <f>P23/L23-1</f>
        <v>0.25916230366492155</v>
      </c>
      <c r="Q49" s="10">
        <f t="shared" ref="Q49:R50" si="175">Q23/M23-1</f>
        <v>0.35054347826086962</v>
      </c>
      <c r="R49" s="10">
        <f t="shared" si="175"/>
        <v>0.19999999999999996</v>
      </c>
      <c r="T49" s="10"/>
      <c r="U49" s="10"/>
      <c r="V49" s="10"/>
      <c r="W49" s="10"/>
      <c r="X49" s="10">
        <f>X23/W23-1</f>
        <v>-1.4884979702300405E-2</v>
      </c>
      <c r="Y49" s="10">
        <f>Y23/X23-1</f>
        <v>5.4945054945054972E-2</v>
      </c>
      <c r="Z49" s="10">
        <f t="shared" ref="Z49:AJ49" si="176">Z23/Y23-1</f>
        <v>0.2553385416666667</v>
      </c>
      <c r="AA49" s="10">
        <f t="shared" si="176"/>
        <v>0.12000000000000011</v>
      </c>
      <c r="AB49" s="10">
        <f t="shared" si="176"/>
        <v>7.0000000000000062E-2</v>
      </c>
      <c r="AC49" s="10">
        <f t="shared" si="176"/>
        <v>3.0000000000000027E-2</v>
      </c>
      <c r="AD49" s="10">
        <f t="shared" si="176"/>
        <v>2.0000000000000018E-2</v>
      </c>
      <c r="AE49" s="10">
        <f t="shared" si="176"/>
        <v>2.0000000000000018E-2</v>
      </c>
      <c r="AF49" s="10">
        <f t="shared" si="176"/>
        <v>2.0000000000000018E-2</v>
      </c>
      <c r="AG49" s="10">
        <f t="shared" si="176"/>
        <v>2.0000000000000018E-2</v>
      </c>
      <c r="AH49" s="10">
        <f t="shared" si="176"/>
        <v>2.0000000000000018E-2</v>
      </c>
      <c r="AI49" s="10">
        <f t="shared" si="176"/>
        <v>2.0000000000000018E-2</v>
      </c>
      <c r="AJ49" s="10">
        <f t="shared" si="176"/>
        <v>2.0000000000000018E-2</v>
      </c>
      <c r="AL49" s="1" t="s">
        <v>62</v>
      </c>
      <c r="AM49" s="5">
        <f>AM48/AJ35</f>
        <v>162.62736284627604</v>
      </c>
    </row>
    <row r="50" spans="2:39" x14ac:dyDescent="0.3">
      <c r="B50" s="1" t="s">
        <v>53</v>
      </c>
      <c r="C50" s="10"/>
      <c r="D50" s="10"/>
      <c r="G50" s="10">
        <f t="shared" ref="G50:P50" si="177">G24/C24-1</f>
        <v>-7.9664570230607912E-2</v>
      </c>
      <c r="H50" s="10">
        <f t="shared" si="177"/>
        <v>-3.3690658499234249E-2</v>
      </c>
      <c r="I50" s="10"/>
      <c r="J50" s="10"/>
      <c r="K50" s="10">
        <f t="shared" si="177"/>
        <v>-1.1389521640091105E-2</v>
      </c>
      <c r="L50" s="10">
        <f t="shared" si="177"/>
        <v>7.844690966719492E-2</v>
      </c>
      <c r="M50" s="10">
        <f t="shared" si="177"/>
        <v>0.11661341853035134</v>
      </c>
      <c r="N50" s="10">
        <f t="shared" si="177"/>
        <v>8.4104938271605034E-2</v>
      </c>
      <c r="O50" s="10">
        <f t="shared" si="177"/>
        <v>4.5314900153609727E-2</v>
      </c>
      <c r="P50" s="10">
        <f t="shared" si="177"/>
        <v>4.9228508449669306E-2</v>
      </c>
      <c r="Q50" s="10">
        <f t="shared" si="175"/>
        <v>-7.2961373390557971E-2</v>
      </c>
      <c r="R50" s="10">
        <f t="shared" si="175"/>
        <v>5.0000000000000044E-2</v>
      </c>
      <c r="T50" s="10"/>
      <c r="U50" s="10">
        <f t="shared" ref="U50:W50" si="178">U24/T24-1</f>
        <v>-0.13535060699402068</v>
      </c>
      <c r="V50" s="10">
        <f t="shared" si="178"/>
        <v>5.4484492875104262E-3</v>
      </c>
      <c r="W50" s="10">
        <f t="shared" si="178"/>
        <v>8.6702792830345876E-2</v>
      </c>
      <c r="X50" s="10">
        <f>X24/W24-1</f>
        <v>-1.6685845799769838E-2</v>
      </c>
      <c r="Y50" s="10">
        <f>Y24/X24-1</f>
        <v>6.6120538326506662E-2</v>
      </c>
      <c r="Z50" s="10">
        <f t="shared" ref="Z50:AJ50" si="179">Z24/Y24-1</f>
        <v>1.7242956458104697E-2</v>
      </c>
      <c r="AA50" s="10">
        <f t="shared" si="179"/>
        <v>3.0000000000000027E-2</v>
      </c>
      <c r="AB50" s="10">
        <f t="shared" si="179"/>
        <v>2.0000000000000018E-2</v>
      </c>
      <c r="AC50" s="10">
        <f t="shared" si="179"/>
        <v>1.0000000000000009E-2</v>
      </c>
      <c r="AD50" s="10">
        <f t="shared" si="179"/>
        <v>1.0000000000000009E-2</v>
      </c>
      <c r="AE50" s="10">
        <f t="shared" si="179"/>
        <v>1.0000000000000009E-2</v>
      </c>
      <c r="AF50" s="10">
        <f t="shared" si="179"/>
        <v>1.0000000000000009E-2</v>
      </c>
      <c r="AG50" s="10">
        <f t="shared" si="179"/>
        <v>1.0000000000000009E-2</v>
      </c>
      <c r="AH50" s="10">
        <f t="shared" si="179"/>
        <v>1.0000000000000009E-2</v>
      </c>
      <c r="AI50" s="10">
        <f t="shared" si="179"/>
        <v>1.0000000000000009E-2</v>
      </c>
      <c r="AJ50" s="10">
        <f t="shared" si="179"/>
        <v>1.0000000000000009E-2</v>
      </c>
      <c r="AL50" s="1" t="s">
        <v>63</v>
      </c>
      <c r="AM50" s="5">
        <f>Main!D3</f>
        <v>190.02</v>
      </c>
    </row>
    <row r="51" spans="2:39" x14ac:dyDescent="0.3">
      <c r="B51" s="1" t="s">
        <v>55</v>
      </c>
      <c r="C51" s="10">
        <f t="shared" ref="C51" si="180">C27/C18</f>
        <v>0.15174307545367718</v>
      </c>
      <c r="D51" s="10">
        <f t="shared" ref="D51" si="181">D27/D18</f>
        <v>0.17882274098067688</v>
      </c>
      <c r="G51" s="10">
        <f t="shared" ref="G51" si="182">G27/G18</f>
        <v>0.19088447653429602</v>
      </c>
      <c r="H51" s="10">
        <f t="shared" ref="H51:I51" si="183">H27/H18</f>
        <v>0.20588235294117646</v>
      </c>
      <c r="I51" s="10">
        <f t="shared" si="183"/>
        <v>0.20907511940946591</v>
      </c>
      <c r="J51" s="10">
        <f t="shared" ref="J51:K51" si="184">J27/J18</f>
        <v>0.16769067796610168</v>
      </c>
      <c r="K51" s="10">
        <f t="shared" si="184"/>
        <v>0.2042833607907743</v>
      </c>
      <c r="L51" s="10">
        <f t="shared" ref="L51:M51" si="185">L27/L18</f>
        <v>0.20653649368278165</v>
      </c>
      <c r="M51" s="10">
        <f t="shared" si="185"/>
        <v>0.19099506578947367</v>
      </c>
      <c r="N51" s="10">
        <f t="shared" ref="N51" si="186">N27/N18</f>
        <v>0.17297779540047581</v>
      </c>
      <c r="O51" s="10">
        <f t="shared" ref="O51:P51" si="187">O27/O18</f>
        <v>0.20057014864589698</v>
      </c>
      <c r="P51" s="10">
        <f t="shared" si="187"/>
        <v>0.20421174652241114</v>
      </c>
      <c r="Q51" s="10">
        <f t="shared" ref="Q51:R51" si="188">Q27/Q18</f>
        <v>0.16852421214450422</v>
      </c>
      <c r="R51" s="10">
        <f t="shared" si="188"/>
        <v>0.17592389831632596</v>
      </c>
      <c r="T51" s="10">
        <f t="shared" ref="T51:Y51" si="189">T27/T18</f>
        <v>0.18662998174834508</v>
      </c>
      <c r="U51" s="10">
        <f t="shared" si="189"/>
        <v>0.17452584489996018</v>
      </c>
      <c r="V51" s="10">
        <f t="shared" si="189"/>
        <v>0.18027448243777622</v>
      </c>
      <c r="W51" s="10">
        <f t="shared" si="189"/>
        <v>0.18121581232729939</v>
      </c>
      <c r="X51" s="10">
        <f t="shared" si="189"/>
        <v>0.19322459222082811</v>
      </c>
      <c r="Y51" s="10">
        <f t="shared" si="189"/>
        <v>0.19328276793599666</v>
      </c>
      <c r="Z51" s="10">
        <f t="shared" ref="Z51:AJ51" si="190">Z27/Z18</f>
        <v>0.18705507301337262</v>
      </c>
      <c r="AA51" s="10">
        <f t="shared" si="190"/>
        <v>0.20040276762400419</v>
      </c>
      <c r="AB51" s="10">
        <f t="shared" si="190"/>
        <v>0.20321200388988439</v>
      </c>
      <c r="AC51" s="10">
        <f t="shared" si="190"/>
        <v>0.20737772829942699</v>
      </c>
      <c r="AD51" s="10">
        <f t="shared" si="190"/>
        <v>0.21026899761342133</v>
      </c>
      <c r="AE51" s="10">
        <f t="shared" si="190"/>
        <v>0.21226237727448902</v>
      </c>
      <c r="AF51" s="10">
        <f t="shared" si="190"/>
        <v>0.21258830303687123</v>
      </c>
      <c r="AG51" s="10">
        <f t="shared" si="190"/>
        <v>0.21291537570241442</v>
      </c>
      <c r="AH51" s="10">
        <f t="shared" si="190"/>
        <v>0.21324358537806876</v>
      </c>
      <c r="AI51" s="10">
        <f t="shared" si="190"/>
        <v>0.21357292199113673</v>
      </c>
      <c r="AJ51" s="10">
        <f t="shared" si="190"/>
        <v>0.21390337528987158</v>
      </c>
      <c r="AL51" s="2" t="s">
        <v>64</v>
      </c>
      <c r="AM51" s="11">
        <f>AM49/AM50-1</f>
        <v>-0.14415660011432463</v>
      </c>
    </row>
    <row r="52" spans="2:39" x14ac:dyDescent="0.3">
      <c r="B52" s="1" t="s">
        <v>28</v>
      </c>
      <c r="C52" s="10">
        <f>C32/C31</f>
        <v>0.24651162790697675</v>
      </c>
      <c r="D52" s="10">
        <f>D32/D31</f>
        <v>0.25880281690140844</v>
      </c>
      <c r="G52" s="10">
        <f t="shared" ref="G52:P52" si="191">G32/G31</f>
        <v>0.20987654320987653</v>
      </c>
      <c r="H52" s="10">
        <f t="shared" si="191"/>
        <v>0.21165966386554622</v>
      </c>
      <c r="I52" s="10">
        <f t="shared" si="191"/>
        <v>0.22979156075241486</v>
      </c>
      <c r="J52" s="10">
        <f t="shared" si="191"/>
        <v>0.17131474103585656</v>
      </c>
      <c r="K52" s="10">
        <f t="shared" si="191"/>
        <v>0.21165152324959915</v>
      </c>
      <c r="L52" s="10">
        <f t="shared" si="191"/>
        <v>0.20972644376899696</v>
      </c>
      <c r="M52" s="10">
        <f t="shared" si="191"/>
        <v>0.22423245614035087</v>
      </c>
      <c r="N52" s="10">
        <f t="shared" si="191"/>
        <v>0.16450777202072539</v>
      </c>
      <c r="O52" s="10">
        <f t="shared" si="191"/>
        <v>0.2213375796178344</v>
      </c>
      <c r="P52" s="10">
        <f t="shared" si="191"/>
        <v>0.16141101015499731</v>
      </c>
      <c r="Q52" s="10">
        <f t="shared" ref="Q52:R52" si="192">Q32/Q31</f>
        <v>0.16336633663366337</v>
      </c>
      <c r="R52" s="10">
        <f t="shared" si="192"/>
        <v>0.18</v>
      </c>
      <c r="T52" s="10">
        <f t="shared" ref="T52:X52" si="193">T32/T31</f>
        <v>0.1758169069982802</v>
      </c>
      <c r="U52" s="10">
        <f t="shared" si="193"/>
        <v>0.19078509647371922</v>
      </c>
      <c r="V52" s="10">
        <f t="shared" si="193"/>
        <v>0.22460262612301313</v>
      </c>
      <c r="W52" s="10">
        <f t="shared" si="193"/>
        <v>0.22135130898259917</v>
      </c>
      <c r="X52" s="10">
        <f t="shared" si="193"/>
        <v>0.20771057410252827</v>
      </c>
      <c r="Y52" s="10">
        <f>Y32/Y31</f>
        <v>0.20421461250519896</v>
      </c>
      <c r="Z52" s="10">
        <f t="shared" ref="Z52:AJ52" si="194">Z32/Z31</f>
        <v>0.18081140581793298</v>
      </c>
      <c r="AA52" s="10">
        <f t="shared" si="194"/>
        <v>0.21</v>
      </c>
      <c r="AB52" s="10">
        <f t="shared" si="194"/>
        <v>0.21</v>
      </c>
      <c r="AC52" s="10">
        <f t="shared" si="194"/>
        <v>0.21</v>
      </c>
      <c r="AD52" s="10">
        <f t="shared" si="194"/>
        <v>0.21</v>
      </c>
      <c r="AE52" s="10">
        <f t="shared" si="194"/>
        <v>0.20999999999999996</v>
      </c>
      <c r="AF52" s="10">
        <f t="shared" si="194"/>
        <v>0.21</v>
      </c>
      <c r="AG52" s="10">
        <f t="shared" si="194"/>
        <v>0.21</v>
      </c>
      <c r="AH52" s="10">
        <f t="shared" si="194"/>
        <v>0.21</v>
      </c>
      <c r="AI52" s="10">
        <f t="shared" si="194"/>
        <v>0.21</v>
      </c>
      <c r="AJ52" s="10">
        <f t="shared" si="194"/>
        <v>0.21</v>
      </c>
      <c r="AL52" s="1" t="s">
        <v>65</v>
      </c>
      <c r="AM52" s="7" t="s">
        <v>66</v>
      </c>
    </row>
    <row r="53" spans="2:39" x14ac:dyDescent="0.3">
      <c r="B53" s="1" t="s">
        <v>56</v>
      </c>
      <c r="C53" s="10">
        <f t="shared" ref="C53" si="195">C34/C18</f>
        <v>0.13538681948424069</v>
      </c>
      <c r="D53" s="10">
        <f t="shared" ref="D53" si="196">D34/D18</f>
        <v>0.14084664358315649</v>
      </c>
      <c r="G53" s="10">
        <f t="shared" ref="G53" si="197">G34/G18</f>
        <v>0.1572653429602888</v>
      </c>
      <c r="H53" s="10">
        <f t="shared" ref="H53:I53" si="198">H34/H18</f>
        <v>0.16258473649682922</v>
      </c>
      <c r="I53" s="10">
        <f t="shared" si="198"/>
        <v>0.16435084672166739</v>
      </c>
      <c r="J53" s="10">
        <f t="shared" ref="J53:K53" si="199">J34/J18</f>
        <v>0.13379237288135593</v>
      </c>
      <c r="K53" s="10">
        <f t="shared" si="199"/>
        <v>0.16068094453596926</v>
      </c>
      <c r="L53" s="10">
        <f t="shared" ref="L53:M53" si="200">L34/L18</f>
        <v>0.16121958859768196</v>
      </c>
      <c r="M53" s="10">
        <f t="shared" si="200"/>
        <v>0.14525082236842105</v>
      </c>
      <c r="N53" s="10">
        <f t="shared" ref="N53" si="201">N34/N18</f>
        <v>0.12737906423473433</v>
      </c>
      <c r="O53" s="10">
        <f t="shared" ref="O53:P53" si="202">O34/O18</f>
        <v>0.14752596212583996</v>
      </c>
      <c r="P53" s="10">
        <f t="shared" si="202"/>
        <v>0.151661514683153</v>
      </c>
      <c r="Q53" s="10">
        <f t="shared" ref="Q53:R53" si="203">Q34/Q18</f>
        <v>0.17534588777863183</v>
      </c>
      <c r="R53" s="10">
        <f t="shared" si="203"/>
        <v>0.12354141458931422</v>
      </c>
      <c r="T53" s="10">
        <f t="shared" ref="T53:Y53" si="204">T34/T18</f>
        <v>0.16734315835353727</v>
      </c>
      <c r="U53" s="10">
        <f t="shared" si="204"/>
        <v>0.14642889971504733</v>
      </c>
      <c r="V53" s="10">
        <f t="shared" si="204"/>
        <v>0.16114212607583159</v>
      </c>
      <c r="W53" s="10">
        <f t="shared" si="204"/>
        <v>0.14002142897422884</v>
      </c>
      <c r="X53" s="10">
        <f t="shared" si="204"/>
        <v>0.15432873274780426</v>
      </c>
      <c r="Y53" s="10">
        <f t="shared" si="204"/>
        <v>0.1481895163385111</v>
      </c>
      <c r="Z53" s="10">
        <f t="shared" ref="Z53:AJ53" si="205">Z34/Z18</f>
        <v>0.14945177743258387</v>
      </c>
      <c r="AA53" s="10">
        <f t="shared" si="205"/>
        <v>0.15574203995470379</v>
      </c>
      <c r="AB53" s="10">
        <f t="shared" si="205"/>
        <v>0.15782583159581515</v>
      </c>
      <c r="AC53" s="10">
        <f t="shared" si="205"/>
        <v>0.16096582382537789</v>
      </c>
      <c r="AD53" s="10">
        <f t="shared" si="205"/>
        <v>0.16307858468592457</v>
      </c>
      <c r="AE53" s="10">
        <f t="shared" si="205"/>
        <v>0.16446619825911529</v>
      </c>
      <c r="AF53" s="10">
        <f t="shared" si="205"/>
        <v>0.16450609844411823</v>
      </c>
      <c r="AG53" s="10">
        <f t="shared" si="205"/>
        <v>0.16454613903424897</v>
      </c>
      <c r="AH53" s="10">
        <f t="shared" si="205"/>
        <v>0.1645863188183895</v>
      </c>
      <c r="AI53" s="10">
        <f t="shared" si="205"/>
        <v>0.16462663656342932</v>
      </c>
      <c r="AJ53" s="10">
        <f t="shared" si="205"/>
        <v>0.16466709101433857</v>
      </c>
    </row>
    <row r="57" spans="2:39" s="12" customFormat="1" x14ac:dyDescent="0.3">
      <c r="B57" s="12" t="s">
        <v>67</v>
      </c>
      <c r="N57" s="14">
        <v>75196</v>
      </c>
      <c r="O57" s="14"/>
      <c r="P57" s="14">
        <v>78419</v>
      </c>
      <c r="Q57" s="14"/>
      <c r="R57" s="14"/>
      <c r="S57" s="14"/>
      <c r="T57" s="14"/>
      <c r="U57" s="14"/>
      <c r="V57" s="14"/>
      <c r="W57" s="14"/>
      <c r="X57" s="14"/>
      <c r="Y57" s="14"/>
      <c r="Z57" s="14">
        <v>80917</v>
      </c>
    </row>
    <row r="59" spans="2:39" x14ac:dyDescent="0.3">
      <c r="B59" s="1" t="s">
        <v>68</v>
      </c>
      <c r="P59" s="13"/>
      <c r="Z59" s="13">
        <f>Main!$D$9/Model!Z57</f>
        <v>1.7835769739362557</v>
      </c>
    </row>
    <row r="60" spans="2:39" x14ac:dyDescent="0.3">
      <c r="B60" s="1" t="s">
        <v>69</v>
      </c>
      <c r="P60" s="10"/>
      <c r="Z60" s="10">
        <f>Z57/Main!$D$9-1</f>
        <v>-0.43932893583333532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2025-04-23T18:31:42Z</dcterms:created>
  <dcterms:modified xsi:type="dcterms:W3CDTF">2025-12-11T11:59:00Z</dcterms:modified>
</cp:coreProperties>
</file>