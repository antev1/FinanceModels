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6690B280-04DD-4A0D-AB24-F472CD844BAC}" xr6:coauthVersionLast="47" xr6:coauthVersionMax="47" xr10:uidLastSave="{00000000-0000-0000-0000-000000000000}"/>
  <bookViews>
    <workbookView xWindow="-108" yWindow="-108" windowWidth="23256" windowHeight="12576" activeTab="1" xr2:uid="{F30574C2-14C5-4405-B92F-D72ACFF190E8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32" i="2" l="1"/>
  <c r="AM33" i="2" s="1"/>
  <c r="AM31" i="2"/>
  <c r="AM30" i="2"/>
  <c r="AM29" i="2"/>
  <c r="AM28" i="2"/>
  <c r="AL21" i="2"/>
  <c r="AM21" i="2" s="1"/>
  <c r="AN21" i="2" s="1"/>
  <c r="AO21" i="2" s="1"/>
  <c r="AP21" i="2" s="1"/>
  <c r="AQ21" i="2" s="1"/>
  <c r="AR21" i="2" s="1"/>
  <c r="AS21" i="2" s="1"/>
  <c r="AT21" i="2" s="1"/>
  <c r="AU21" i="2" s="1"/>
  <c r="AV21" i="2" s="1"/>
  <c r="AW21" i="2" s="1"/>
  <c r="AX21" i="2" s="1"/>
  <c r="AY21" i="2" s="1"/>
  <c r="AZ21" i="2" s="1"/>
  <c r="BA21" i="2" s="1"/>
  <c r="BB21" i="2" s="1"/>
  <c r="BC21" i="2" s="1"/>
  <c r="BD21" i="2" s="1"/>
  <c r="BE21" i="2" s="1"/>
  <c r="BF21" i="2" s="1"/>
  <c r="BG21" i="2" s="1"/>
  <c r="BH21" i="2" s="1"/>
  <c r="BI21" i="2" s="1"/>
  <c r="BJ21" i="2" s="1"/>
  <c r="BK21" i="2" s="1"/>
  <c r="BL21" i="2" s="1"/>
  <c r="BM21" i="2" s="1"/>
  <c r="BN21" i="2" s="1"/>
  <c r="BO21" i="2" s="1"/>
  <c r="BP21" i="2" s="1"/>
  <c r="BQ21" i="2" s="1"/>
  <c r="BR21" i="2" s="1"/>
  <c r="BS21" i="2" s="1"/>
  <c r="BT21" i="2" s="1"/>
  <c r="BU21" i="2" s="1"/>
  <c r="BV21" i="2" s="1"/>
  <c r="BW21" i="2" s="1"/>
  <c r="BX21" i="2" s="1"/>
  <c r="BY21" i="2" s="1"/>
  <c r="BZ21" i="2" s="1"/>
  <c r="CA21" i="2" s="1"/>
  <c r="CB21" i="2" s="1"/>
  <c r="CC21" i="2" s="1"/>
  <c r="CD21" i="2" s="1"/>
  <c r="CE21" i="2" s="1"/>
  <c r="CF21" i="2" s="1"/>
  <c r="CG21" i="2" s="1"/>
  <c r="CH21" i="2" s="1"/>
  <c r="CI21" i="2" s="1"/>
  <c r="CJ21" i="2" s="1"/>
  <c r="CK21" i="2" s="1"/>
  <c r="CL21" i="2" s="1"/>
  <c r="CM21" i="2" s="1"/>
  <c r="CN21" i="2" s="1"/>
  <c r="CO21" i="2" s="1"/>
  <c r="CP21" i="2" s="1"/>
  <c r="CQ21" i="2" s="1"/>
  <c r="CR21" i="2" s="1"/>
  <c r="CS21" i="2" s="1"/>
  <c r="CT21" i="2" s="1"/>
  <c r="CU21" i="2" s="1"/>
  <c r="CV21" i="2" s="1"/>
  <c r="CW21" i="2" s="1"/>
  <c r="CX21" i="2" s="1"/>
  <c r="CY21" i="2" s="1"/>
  <c r="CZ21" i="2" s="1"/>
  <c r="DA21" i="2" s="1"/>
  <c r="DB21" i="2" s="1"/>
  <c r="DC21" i="2" s="1"/>
  <c r="DD21" i="2" s="1"/>
  <c r="DE21" i="2" s="1"/>
  <c r="DF21" i="2" s="1"/>
  <c r="DG21" i="2" s="1"/>
  <c r="DH21" i="2" s="1"/>
  <c r="DI21" i="2" s="1"/>
  <c r="DJ21" i="2" s="1"/>
  <c r="DK21" i="2" s="1"/>
  <c r="DL21" i="2" s="1"/>
  <c r="DM21" i="2" s="1"/>
  <c r="DN21" i="2" s="1"/>
  <c r="DO21" i="2" s="1"/>
  <c r="DP21" i="2" s="1"/>
  <c r="DQ21" i="2" s="1"/>
  <c r="DR21" i="2" s="1"/>
  <c r="DS21" i="2" s="1"/>
  <c r="DT21" i="2" s="1"/>
  <c r="DU21" i="2" s="1"/>
  <c r="DV21" i="2" s="1"/>
  <c r="DW21" i="2" s="1"/>
  <c r="DX21" i="2" s="1"/>
  <c r="DY21" i="2" s="1"/>
  <c r="DZ21" i="2" s="1"/>
  <c r="EA21" i="2" s="1"/>
  <c r="EB21" i="2" s="1"/>
  <c r="EC21" i="2" s="1"/>
  <c r="ED21" i="2" s="1"/>
  <c r="EE21" i="2" s="1"/>
  <c r="EF21" i="2" s="1"/>
  <c r="AK21" i="2"/>
  <c r="AD11" i="2"/>
  <c r="AE11" i="2" s="1"/>
  <c r="AF11" i="2" s="1"/>
  <c r="AG11" i="2" s="1"/>
  <c r="AH11" i="2" s="1"/>
  <c r="AI11" i="2" s="1"/>
  <c r="AJ11" i="2" s="1"/>
  <c r="AC11" i="2"/>
  <c r="AB11" i="2"/>
  <c r="AA11" i="2"/>
  <c r="AA32" i="2" s="1"/>
  <c r="AB10" i="2"/>
  <c r="AC10" i="2" s="1"/>
  <c r="AD10" i="2" s="1"/>
  <c r="AE10" i="2" s="1"/>
  <c r="AF10" i="2" s="1"/>
  <c r="AG10" i="2" s="1"/>
  <c r="AH10" i="2" s="1"/>
  <c r="AI10" i="2" s="1"/>
  <c r="AJ10" i="2" s="1"/>
  <c r="AA10" i="2"/>
  <c r="AF4" i="2"/>
  <c r="AG4" i="2" s="1"/>
  <c r="AH4" i="2" s="1"/>
  <c r="AI4" i="2" s="1"/>
  <c r="AJ4" i="2" s="1"/>
  <c r="AE4" i="2"/>
  <c r="AD4" i="2"/>
  <c r="AC4" i="2"/>
  <c r="AB4" i="2"/>
  <c r="AA4" i="2"/>
  <c r="AA7" i="2" s="1"/>
  <c r="AA29" i="2" s="1"/>
  <c r="AJ22" i="2"/>
  <c r="AI22" i="2"/>
  <c r="AH22" i="2"/>
  <c r="AG22" i="2"/>
  <c r="AF22" i="2"/>
  <c r="AE22" i="2"/>
  <c r="AD22" i="2"/>
  <c r="AC22" i="2"/>
  <c r="AB22" i="2"/>
  <c r="AA22" i="2"/>
  <c r="AB16" i="2"/>
  <c r="AC16" i="2" s="1"/>
  <c r="AD16" i="2" s="1"/>
  <c r="AE16" i="2" s="1"/>
  <c r="AF16" i="2" s="1"/>
  <c r="AG16" i="2" s="1"/>
  <c r="AH16" i="2" s="1"/>
  <c r="AI16" i="2" s="1"/>
  <c r="AJ16" i="2" s="1"/>
  <c r="AA16" i="2"/>
  <c r="AA15" i="2"/>
  <c r="AA17" i="2" s="1"/>
  <c r="AB6" i="2"/>
  <c r="AA6" i="2"/>
  <c r="AA28" i="2" s="1"/>
  <c r="AB3" i="2"/>
  <c r="AA3" i="2"/>
  <c r="AA5" i="2" s="1"/>
  <c r="Z32" i="2"/>
  <c r="Z31" i="2"/>
  <c r="AA26" i="2"/>
  <c r="Z26" i="2"/>
  <c r="AB25" i="2"/>
  <c r="AA25" i="2"/>
  <c r="Z25" i="2"/>
  <c r="Z22" i="2"/>
  <c r="Z17" i="2"/>
  <c r="Z16" i="2"/>
  <c r="Z15" i="2"/>
  <c r="Z13" i="2"/>
  <c r="Z11" i="2"/>
  <c r="Z10" i="2"/>
  <c r="Z7" i="2"/>
  <c r="Z29" i="2" s="1"/>
  <c r="Z6" i="2"/>
  <c r="Z8" i="2" s="1"/>
  <c r="Z9" i="2" s="1"/>
  <c r="Z30" i="2" s="1"/>
  <c r="Z5" i="2"/>
  <c r="Z27" i="2" s="1"/>
  <c r="Z3" i="2"/>
  <c r="Z4" i="2"/>
  <c r="W32" i="2"/>
  <c r="V32" i="2"/>
  <c r="U32" i="2"/>
  <c r="X32" i="2"/>
  <c r="X31" i="2"/>
  <c r="X29" i="2"/>
  <c r="W29" i="2"/>
  <c r="V29" i="2"/>
  <c r="U29" i="2"/>
  <c r="T29" i="2"/>
  <c r="X28" i="2"/>
  <c r="W28" i="2"/>
  <c r="V28" i="2"/>
  <c r="U28" i="2"/>
  <c r="T28" i="2"/>
  <c r="X26" i="2"/>
  <c r="W26" i="2"/>
  <c r="V26" i="2"/>
  <c r="U26" i="2"/>
  <c r="X25" i="2"/>
  <c r="W25" i="2"/>
  <c r="V25" i="2"/>
  <c r="U25" i="2"/>
  <c r="Y32" i="2"/>
  <c r="Y31" i="2"/>
  <c r="Y29" i="2"/>
  <c r="Y28" i="2"/>
  <c r="Y26" i="2"/>
  <c r="Y25" i="2"/>
  <c r="AB32" i="2" l="1"/>
  <c r="AA13" i="2"/>
  <c r="AB5" i="2"/>
  <c r="AC32" i="2"/>
  <c r="AA9" i="2"/>
  <c r="AA27" i="2"/>
  <c r="AB26" i="2"/>
  <c r="AB7" i="2"/>
  <c r="AB8" i="2" s="1"/>
  <c r="Z14" i="2"/>
  <c r="Z33" i="2" s="1"/>
  <c r="AB15" i="2"/>
  <c r="Z28" i="2"/>
  <c r="Z18" i="2"/>
  <c r="AB28" i="2"/>
  <c r="AA31" i="2"/>
  <c r="AC3" i="2"/>
  <c r="AA8" i="2"/>
  <c r="T22" i="2"/>
  <c r="T17" i="2"/>
  <c r="T13" i="2"/>
  <c r="T8" i="2"/>
  <c r="T5" i="2"/>
  <c r="U22" i="2"/>
  <c r="U17" i="2"/>
  <c r="U13" i="2"/>
  <c r="U8" i="2"/>
  <c r="U5" i="2"/>
  <c r="U27" i="2" s="1"/>
  <c r="V22" i="2"/>
  <c r="V17" i="2"/>
  <c r="V13" i="2"/>
  <c r="V8" i="2"/>
  <c r="V5" i="2"/>
  <c r="W22" i="2"/>
  <c r="W17" i="2"/>
  <c r="W13" i="2"/>
  <c r="W8" i="2"/>
  <c r="W5" i="2"/>
  <c r="X22" i="2"/>
  <c r="X17" i="2"/>
  <c r="X13" i="2"/>
  <c r="X8" i="2"/>
  <c r="X5" i="2"/>
  <c r="X27" i="2" s="1"/>
  <c r="Y22" i="2"/>
  <c r="Y17" i="2"/>
  <c r="Y13" i="2"/>
  <c r="Y8" i="2"/>
  <c r="Y5" i="2"/>
  <c r="D8" i="1"/>
  <c r="D7" i="1"/>
  <c r="D6" i="1"/>
  <c r="D5" i="1"/>
  <c r="D9" i="1" s="1"/>
  <c r="D4" i="1"/>
  <c r="F3" i="1"/>
  <c r="AB29" i="2" l="1"/>
  <c r="AB9" i="2"/>
  <c r="AB27" i="2"/>
  <c r="AC26" i="2"/>
  <c r="AC7" i="2"/>
  <c r="AC29" i="2" s="1"/>
  <c r="AB30" i="2"/>
  <c r="AA14" i="2"/>
  <c r="AA30" i="2"/>
  <c r="AD32" i="2"/>
  <c r="Z19" i="2"/>
  <c r="Z34" i="2" s="1"/>
  <c r="AB17" i="2"/>
  <c r="AC15" i="2"/>
  <c r="AB13" i="2"/>
  <c r="AB14" i="2" s="1"/>
  <c r="AB31" i="2"/>
  <c r="AD3" i="2"/>
  <c r="AC25" i="2"/>
  <c r="AC5" i="2"/>
  <c r="AC6" i="2"/>
  <c r="Y9" i="2"/>
  <c r="Y30" i="2" s="1"/>
  <c r="Y27" i="2"/>
  <c r="V27" i="2"/>
  <c r="W27" i="2"/>
  <c r="T9" i="2"/>
  <c r="U9" i="2"/>
  <c r="V9" i="2"/>
  <c r="W9" i="2"/>
  <c r="X9" i="2"/>
  <c r="AC8" i="2" l="1"/>
  <c r="AC9" i="2" s="1"/>
  <c r="AB18" i="2"/>
  <c r="AB33" i="2"/>
  <c r="AC17" i="2"/>
  <c r="AD15" i="2"/>
  <c r="AC27" i="2"/>
  <c r="AA18" i="2"/>
  <c r="AA33" i="2"/>
  <c r="AC28" i="2"/>
  <c r="AE3" i="2"/>
  <c r="AD25" i="2"/>
  <c r="AD6" i="2"/>
  <c r="AD28" i="2" s="1"/>
  <c r="AD5" i="2"/>
  <c r="Z21" i="2"/>
  <c r="AC13" i="2"/>
  <c r="AC31" i="2"/>
  <c r="AE32" i="2"/>
  <c r="AD7" i="2"/>
  <c r="AD26" i="2"/>
  <c r="AD29" i="2"/>
  <c r="T14" i="2"/>
  <c r="T18" i="2" s="1"/>
  <c r="T30" i="2"/>
  <c r="Y14" i="2"/>
  <c r="V14" i="2"/>
  <c r="V30" i="2"/>
  <c r="W14" i="2"/>
  <c r="W30" i="2"/>
  <c r="U14" i="2"/>
  <c r="U33" i="2" s="1"/>
  <c r="U30" i="2"/>
  <c r="X14" i="2"/>
  <c r="X30" i="2"/>
  <c r="V18" i="2"/>
  <c r="V33" i="2"/>
  <c r="X18" i="2"/>
  <c r="X33" i="2"/>
  <c r="Y18" i="2"/>
  <c r="Y33" i="2"/>
  <c r="W18" i="2"/>
  <c r="W33" i="2"/>
  <c r="AD27" i="2" l="1"/>
  <c r="AD17" i="2"/>
  <c r="AE15" i="2"/>
  <c r="AA19" i="2"/>
  <c r="AA34" i="2" s="1"/>
  <c r="Z35" i="2"/>
  <c r="Z23" i="2"/>
  <c r="AD8" i="2"/>
  <c r="AD9" i="2" s="1"/>
  <c r="AD13" i="2"/>
  <c r="AD31" i="2"/>
  <c r="AF3" i="2"/>
  <c r="AE25" i="2"/>
  <c r="AE6" i="2"/>
  <c r="AE5" i="2"/>
  <c r="AE26" i="2"/>
  <c r="AE7" i="2"/>
  <c r="AE29" i="2" s="1"/>
  <c r="AC30" i="2"/>
  <c r="AC14" i="2"/>
  <c r="AF32" i="2"/>
  <c r="AB19" i="2"/>
  <c r="AB34" i="2" s="1"/>
  <c r="T33" i="2"/>
  <c r="U18" i="2"/>
  <c r="T21" i="2"/>
  <c r="T34" i="2"/>
  <c r="V21" i="2"/>
  <c r="V34" i="2"/>
  <c r="U21" i="2"/>
  <c r="U34" i="2"/>
  <c r="Y21" i="2"/>
  <c r="Y34" i="2"/>
  <c r="X21" i="2"/>
  <c r="X34" i="2"/>
  <c r="W21" i="2"/>
  <c r="W34" i="2"/>
  <c r="AA21" i="2" l="1"/>
  <c r="AA23" i="2" s="1"/>
  <c r="AB21" i="2"/>
  <c r="AB23" i="2" s="1"/>
  <c r="AE8" i="2"/>
  <c r="AE9" i="2" s="1"/>
  <c r="AD30" i="2"/>
  <c r="AD14" i="2"/>
  <c r="AG32" i="2"/>
  <c r="AE28" i="2"/>
  <c r="AF15" i="2"/>
  <c r="AE17" i="2"/>
  <c r="AE27" i="2"/>
  <c r="AC33" i="2"/>
  <c r="AC18" i="2"/>
  <c r="AF7" i="2"/>
  <c r="AF29" i="2" s="1"/>
  <c r="AF26" i="2"/>
  <c r="AF25" i="2"/>
  <c r="AF5" i="2"/>
  <c r="AF6" i="2"/>
  <c r="AG3" i="2"/>
  <c r="AE31" i="2"/>
  <c r="AE13" i="2"/>
  <c r="T23" i="2"/>
  <c r="T35" i="2"/>
  <c r="V23" i="2"/>
  <c r="V35" i="2"/>
  <c r="U23" i="2"/>
  <c r="U35" i="2"/>
  <c r="X23" i="2"/>
  <c r="X35" i="2"/>
  <c r="Y23" i="2"/>
  <c r="Y35" i="2"/>
  <c r="W23" i="2"/>
  <c r="W35" i="2"/>
  <c r="AA35" i="2" l="1"/>
  <c r="AB35" i="2"/>
  <c r="AF8" i="2"/>
  <c r="AF9" i="2" s="1"/>
  <c r="AH32" i="2"/>
  <c r="AG15" i="2"/>
  <c r="AF17" i="2"/>
  <c r="AF28" i="2"/>
  <c r="AF27" i="2"/>
  <c r="AE30" i="2"/>
  <c r="AE14" i="2"/>
  <c r="AF31" i="2"/>
  <c r="AF13" i="2"/>
  <c r="AG26" i="2"/>
  <c r="AG7" i="2"/>
  <c r="AG29" i="2" s="1"/>
  <c r="AD33" i="2"/>
  <c r="AD18" i="2"/>
  <c r="AG25" i="2"/>
  <c r="AG6" i="2"/>
  <c r="AG5" i="2"/>
  <c r="AH3" i="2"/>
  <c r="AG28" i="2"/>
  <c r="AC19" i="2"/>
  <c r="AC34" i="2" s="1"/>
  <c r="AG8" i="2" l="1"/>
  <c r="AG9" i="2" s="1"/>
  <c r="AF30" i="2"/>
  <c r="AF14" i="2"/>
  <c r="AH15" i="2"/>
  <c r="AG17" i="2"/>
  <c r="AG27" i="2"/>
  <c r="AD19" i="2"/>
  <c r="AD34" i="2" s="1"/>
  <c r="AG13" i="2"/>
  <c r="AG31" i="2"/>
  <c r="AI32" i="2"/>
  <c r="AJ32" i="2"/>
  <c r="AE33" i="2"/>
  <c r="AE18" i="2"/>
  <c r="AH26" i="2"/>
  <c r="AH7" i="2"/>
  <c r="AH29" i="2" s="1"/>
  <c r="AH6" i="2"/>
  <c r="AH5" i="2"/>
  <c r="AI3" i="2"/>
  <c r="AH28" i="2"/>
  <c r="AH25" i="2"/>
  <c r="AC21" i="2"/>
  <c r="AE19" i="2" l="1"/>
  <c r="AE34" i="2" s="1"/>
  <c r="AI5" i="2"/>
  <c r="AJ3" i="2"/>
  <c r="AI25" i="2"/>
  <c r="AI6" i="2"/>
  <c r="AH8" i="2"/>
  <c r="AH9" i="2" s="1"/>
  <c r="AD21" i="2"/>
  <c r="AG30" i="2"/>
  <c r="AG14" i="2"/>
  <c r="AH27" i="2"/>
  <c r="AH17" i="2"/>
  <c r="AI15" i="2"/>
  <c r="AF33" i="2"/>
  <c r="AF18" i="2"/>
  <c r="AC35" i="2"/>
  <c r="AC23" i="2"/>
  <c r="AI26" i="2"/>
  <c r="AI7" i="2"/>
  <c r="AI29" i="2" s="1"/>
  <c r="AH13" i="2"/>
  <c r="AH31" i="2"/>
  <c r="AH14" i="2" l="1"/>
  <c r="AH30" i="2"/>
  <c r="AI8" i="2"/>
  <c r="AI9" i="2" s="1"/>
  <c r="AJ26" i="2"/>
  <c r="AJ7" i="2"/>
  <c r="AJ29" i="2" s="1"/>
  <c r="AJ5" i="2"/>
  <c r="AJ25" i="2"/>
  <c r="AJ6" i="2"/>
  <c r="AJ8" i="2" s="1"/>
  <c r="AI27" i="2"/>
  <c r="AI17" i="2"/>
  <c r="AJ15" i="2"/>
  <c r="AJ17" i="2" s="1"/>
  <c r="AG33" i="2"/>
  <c r="AG18" i="2"/>
  <c r="AI28" i="2"/>
  <c r="AI13" i="2"/>
  <c r="AI31" i="2"/>
  <c r="AF19" i="2"/>
  <c r="AF34" i="2" s="1"/>
  <c r="AD35" i="2"/>
  <c r="AD23" i="2"/>
  <c r="AE21" i="2"/>
  <c r="AE35" i="2" l="1"/>
  <c r="AE23" i="2"/>
  <c r="AJ28" i="2"/>
  <c r="AJ9" i="2"/>
  <c r="AJ27" i="2"/>
  <c r="AH33" i="2"/>
  <c r="AH18" i="2"/>
  <c r="AG19" i="2"/>
  <c r="AG34" i="2" s="1"/>
  <c r="AF21" i="2"/>
  <c r="AJ13" i="2"/>
  <c r="AJ31" i="2"/>
  <c r="AI14" i="2"/>
  <c r="AI30" i="2"/>
  <c r="AG21" i="2" l="1"/>
  <c r="AG35" i="2" s="1"/>
  <c r="AF23" i="2"/>
  <c r="AF35" i="2"/>
  <c r="AH19" i="2"/>
  <c r="AH34" i="2" s="1"/>
  <c r="AI18" i="2"/>
  <c r="AI33" i="2"/>
  <c r="AJ14" i="2"/>
  <c r="AJ30" i="2"/>
  <c r="AH21" i="2" l="1"/>
  <c r="AH35" i="2" s="1"/>
  <c r="AG23" i="2"/>
  <c r="AJ18" i="2"/>
  <c r="AJ33" i="2"/>
  <c r="AI19" i="2"/>
  <c r="AI34" i="2" s="1"/>
  <c r="AI21" i="2"/>
  <c r="AH23" i="2" l="1"/>
  <c r="AI35" i="2"/>
  <c r="AI23" i="2"/>
  <c r="AJ19" i="2"/>
  <c r="AJ34" i="2" s="1"/>
  <c r="AJ21" i="2" l="1"/>
  <c r="AJ23" i="2" l="1"/>
  <c r="AJ35" i="2"/>
</calcChain>
</file>

<file path=xl/sharedStrings.xml><?xml version="1.0" encoding="utf-8"?>
<sst xmlns="http://schemas.openxmlformats.org/spreadsheetml/2006/main" count="72" uniqueCount="67">
  <si>
    <t>HON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</si>
  <si>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</si>
  <si>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</si>
  <si>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</si>
  <si>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</si>
  <si>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</si>
  <si>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</si>
  <si>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</si>
  <si>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</si>
  <si>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</si>
  <si>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</si>
  <si>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Q424</t>
  </si>
  <si>
    <t>Product revenue</t>
  </si>
  <si>
    <t>Service revenue</t>
  </si>
  <si>
    <t>Total revenue</t>
  </si>
  <si>
    <t>Product cost</t>
  </si>
  <si>
    <t>Service cost</t>
  </si>
  <si>
    <t>Total cost of sales</t>
  </si>
  <si>
    <t>Gross profit</t>
  </si>
  <si>
    <t>R&amp;D</t>
  </si>
  <si>
    <t>G&amp;A</t>
  </si>
  <si>
    <t>Impairment</t>
  </si>
  <si>
    <t>Other expense</t>
  </si>
  <si>
    <t>Total operating expense</t>
  </si>
  <si>
    <t>Operating profit</t>
  </si>
  <si>
    <t>Total other expense</t>
  </si>
  <si>
    <t>Interest expense</t>
  </si>
  <si>
    <t>Pretax profit</t>
  </si>
  <si>
    <t>Taxes</t>
  </si>
  <si>
    <t>MI</t>
  </si>
  <si>
    <t>Net profit</t>
  </si>
  <si>
    <t>EPS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</si>
  <si>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</si>
  <si>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</si>
  <si>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</si>
  <si>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</si>
  <si>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</si>
  <si>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</si>
  <si>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</si>
  <si>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</si>
  <si>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</si>
  <si>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</si>
  <si>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</si>
  <si>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Q125</t>
  </si>
  <si>
    <t>Q225</t>
  </si>
  <si>
    <t>Q325</t>
  </si>
  <si>
    <t>Q425</t>
  </si>
  <si>
    <t>Product revenue y/y</t>
  </si>
  <si>
    <t>Service revenue y/y</t>
  </si>
  <si>
    <t>Revenue y/y</t>
  </si>
  <si>
    <t>Product Margin</t>
  </si>
  <si>
    <t>Service Margin</t>
  </si>
  <si>
    <t>Gross Margin</t>
  </si>
  <si>
    <t>G&amp;A y/y</t>
  </si>
  <si>
    <t>R&amp;D y/y</t>
  </si>
  <si>
    <t>Operating Margin</t>
  </si>
  <si>
    <t>Net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</si>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</sst>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right"/>
    </xf>
    <xf numFmtId="14" fontId="3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/>
    <xf numFmtId="3" fontId="2" fillId="2" borderId="1" xfId="0" applyNumberFormat="1" applyFont="1" applyFill="1" applyBorder="1"/>
    <xf numFmtId="0" fontId="2" fillId="2" borderId="1" xfId="0" applyFont="1" applyFill="1" applyBorder="1" applyAlignment="1">
      <alignment horizontal="right"/>
    </xf>
    <xf numFmtId="2" fontId="2" fillId="2" borderId="1" xfId="0" applyNumberFormat="1" applyFont="1" applyFill="1" applyBorder="1"/>
    <xf numFmtId="3" fontId="1" fillId="2" borderId="1" xfId="0" applyNumberFormat="1" applyFont="1" applyFill="1" applyBorder="1"/>
    <xf numFmtId="9" fontId="2" fillId="2" borderId="1" xfId="0" applyNumberFormat="1" applyFont="1" applyFill="1" applyBorder="1"/>
    <xf numFmtId="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30480</xdr:colOff>
      <xdr:row>0</xdr:row>
      <xdr:rowOff>0</xdr:rowOff>
    </xdr:from>
    <xdr:to>
      <xdr:col>25</xdr:col>
      <xdr:colOff>30480</xdr:colOff>
      <xdr:row>40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11B458E-3914-46AD-6435-C6425FC2E9C6}"/>
            </a:ext>
          </a:extLst>
        </xdr:cNvPr>
        <xdr:cNvCxnSpPr/>
      </xdr:nvCxnSpPr>
      <xdr:spPr>
        <a:xfrm>
          <a:off x="16085820" y="0"/>
          <a:ext cx="0" cy="76047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771BB-2F6F-49C6-9C95-CE13E10764DE}">
  <dimension ref="B2:G9"/>
  <sheetViews>
    <sheetView workbookViewId="0">
      <selection activeCell="E3" sqref="E3"/>
    </sheetView>
  </sheetViews>
  <sheetFormatPr defaultRowHeight="14.4" x14ac:dyDescent="0.3"/>
  <cols>
    <col min="1" max="4" width="8.88671875" style="1"/>
    <col min="5" max="7" width="12.77734375" style="3" customWidth="1"/>
    <col min="8" max="16384" width="8.88671875" style="1"/>
  </cols>
  <sheetData>
    <row r="2" spans="2:7" x14ac:dyDescent="0.3">
      <c r="E2" s="3" t="s">
        <v>8</v>
      </c>
      <c r="F2" s="3" t="s">
        <v>9</v>
      </c>
      <c r="G2" s="3" t="s">
        <v>10</v>
      </c>
    </row>
    <row r="3" spans="2:7" x14ac:dyDescent="0.3">
      <c r="B3" s="2" t="s">
        <v>0</v>
      </c>
      <c r="C3" s="1" t="s">
        <v>1</v>
      </c>
      <c r="D3" s="5">
        <v>227</v>
      </c>
      <c r="E3" s="4">
        <v>45770</v>
      </c>
      <c r="F3" s="4">
        <f ca="1">TODAY()</f>
        <v>45805</v>
      </c>
      <c r="G3" s="4">
        <v>45776</v>
      </c>
    </row>
    <row r="4" spans="2:7" x14ac:dyDescent="0.3">
      <c r="C4" s="1" t="s">
        <v>2</v>
      </c>
      <c r="D4" s="6">
        <f>649.9</f>
        <v>649.9</v>
      </c>
      <c r="E4" s="3" t="s">
        <v>11</v>
      </c>
    </row>
    <row r="5" spans="2:7" x14ac:dyDescent="0.3">
      <c r="C5" s="1" t="s">
        <v>3</v>
      </c>
      <c r="D5" s="6">
        <f>D3*D4</f>
        <v>147527.29999999999</v>
      </c>
    </row>
    <row r="6" spans="2:7" x14ac:dyDescent="0.3">
      <c r="C6" s="1" t="s">
        <v>4</v>
      </c>
      <c r="D6" s="6">
        <f>10567+386</f>
        <v>10953</v>
      </c>
      <c r="E6" s="3" t="s">
        <v>11</v>
      </c>
    </row>
    <row r="7" spans="2:7" x14ac:dyDescent="0.3">
      <c r="C7" s="1" t="s">
        <v>5</v>
      </c>
      <c r="D7" s="6">
        <f>4273+1347+25479</f>
        <v>31099</v>
      </c>
      <c r="E7" s="3" t="s">
        <v>11</v>
      </c>
    </row>
    <row r="8" spans="2:7" x14ac:dyDescent="0.3">
      <c r="C8" s="1" t="s">
        <v>6</v>
      </c>
      <c r="D8" s="6">
        <f>D6-D7</f>
        <v>-20146</v>
      </c>
    </row>
    <row r="9" spans="2:7" x14ac:dyDescent="0.3">
      <c r="C9" s="1" t="s">
        <v>7</v>
      </c>
      <c r="D9" s="6">
        <f>D5-D8</f>
        <v>167673.29999999999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1FB57-91F3-4052-BB69-223C5CE863B6}">
  <dimension ref="B2:EF35"/>
  <sheetViews>
    <sheetView tabSelected="1" workbookViewId="0">
      <pane xSplit="2" ySplit="2" topLeftCell="AG11" activePane="bottomRight" state="frozen"/>
      <selection pane="topRight" activeCell="C1" sqref="C1"/>
      <selection pane="bottomLeft" activeCell="A3" sqref="A3"/>
      <selection pane="bottomRight" activeCell="AM26" sqref="AM26"/>
    </sheetView>
  </sheetViews>
  <sheetFormatPr defaultRowHeight="14.4" x14ac:dyDescent="0.3"/>
  <cols>
    <col min="1" max="1" width="8.88671875" style="1"/>
    <col min="2" max="2" width="20.77734375" style="1" bestFit="1" customWidth="1"/>
    <col min="3" max="37" width="8.88671875" style="1"/>
    <col min="38" max="38" width="11.88671875" style="1" bestFit="1" customWidth="1"/>
    <col min="39" max="39" width="12.109375" style="1" customWidth="1"/>
    <col min="40" max="16384" width="8.88671875" style="1"/>
  </cols>
  <sheetData>
    <row r="2" spans="2:36" x14ac:dyDescent="0.3">
      <c r="C2" s="7" t="s">
        <v>32</v>
      </c>
      <c r="D2" s="7" t="s">
        <v>33</v>
      </c>
      <c r="E2" s="7" t="s">
        <v>34</v>
      </c>
      <c r="F2" s="7" t="s">
        <v>35</v>
      </c>
      <c r="G2" s="7" t="s">
        <v>36</v>
      </c>
      <c r="H2" s="7" t="s">
        <v>37</v>
      </c>
      <c r="I2" s="7" t="s">
        <v>38</v>
      </c>
      <c r="J2" s="7" t="s">
        <v>39</v>
      </c>
      <c r="K2" s="7" t="s">
        <v>40</v>
      </c>
      <c r="L2" s="7" t="s">
        <v>41</v>
      </c>
      <c r="M2" s="7" t="s">
        <v>42</v>
      </c>
      <c r="N2" s="7" t="s">
        <v>11</v>
      </c>
      <c r="O2" s="7" t="s">
        <v>43</v>
      </c>
      <c r="P2" s="7" t="s">
        <v>44</v>
      </c>
      <c r="Q2" s="7" t="s">
        <v>45</v>
      </c>
      <c r="R2" s="7" t="s">
        <v>46</v>
      </c>
      <c r="T2" s="1">
        <v>2019</v>
      </c>
      <c r="U2" s="1">
        <v>2020</v>
      </c>
      <c r="V2" s="1">
        <v>2021</v>
      </c>
      <c r="W2" s="1">
        <v>2022</v>
      </c>
      <c r="X2" s="1">
        <v>2023</v>
      </c>
      <c r="Y2" s="1">
        <v>2024</v>
      </c>
      <c r="Z2" s="1">
        <v>2025</v>
      </c>
      <c r="AA2" s="1">
        <v>2026</v>
      </c>
      <c r="AB2" s="1">
        <v>2027</v>
      </c>
      <c r="AC2" s="1">
        <v>2028</v>
      </c>
      <c r="AD2" s="1">
        <v>2029</v>
      </c>
      <c r="AE2" s="1">
        <v>2030</v>
      </c>
      <c r="AF2" s="1">
        <v>2031</v>
      </c>
      <c r="AG2" s="1">
        <v>2032</v>
      </c>
      <c r="AH2" s="1">
        <v>2033</v>
      </c>
      <c r="AI2" s="1">
        <v>2034</v>
      </c>
      <c r="AJ2" s="1">
        <v>2035</v>
      </c>
    </row>
    <row r="3" spans="2:36" x14ac:dyDescent="0.3">
      <c r="B3" s="1" t="s">
        <v>12</v>
      </c>
      <c r="T3" s="6">
        <v>27629</v>
      </c>
      <c r="U3" s="6">
        <v>24737</v>
      </c>
      <c r="V3" s="6">
        <v>25643</v>
      </c>
      <c r="W3" s="6">
        <v>25960</v>
      </c>
      <c r="X3" s="6">
        <v>25773</v>
      </c>
      <c r="Y3" s="6">
        <v>26279</v>
      </c>
      <c r="Z3" s="6">
        <f>Y3*1.01</f>
        <v>26541.79</v>
      </c>
      <c r="AA3" s="6">
        <f t="shared" ref="AA3:AJ3" si="0">Z3*1.01</f>
        <v>26807.207900000001</v>
      </c>
      <c r="AB3" s="6">
        <f t="shared" si="0"/>
        <v>27075.279979000003</v>
      </c>
      <c r="AC3" s="6">
        <f t="shared" si="0"/>
        <v>27346.032778790002</v>
      </c>
      <c r="AD3" s="6">
        <f t="shared" si="0"/>
        <v>27619.493106577902</v>
      </c>
      <c r="AE3" s="6">
        <f t="shared" si="0"/>
        <v>27895.688037643682</v>
      </c>
      <c r="AF3" s="6">
        <f t="shared" si="0"/>
        <v>28174.64491802012</v>
      </c>
      <c r="AG3" s="6">
        <f t="shared" si="0"/>
        <v>28456.391367200322</v>
      </c>
      <c r="AH3" s="6">
        <f t="shared" si="0"/>
        <v>28740.955280872324</v>
      </c>
      <c r="AI3" s="6">
        <f t="shared" si="0"/>
        <v>29028.364833681047</v>
      </c>
      <c r="AJ3" s="6">
        <f t="shared" si="0"/>
        <v>29318.648482017859</v>
      </c>
    </row>
    <row r="4" spans="2:36" x14ac:dyDescent="0.3">
      <c r="B4" s="1" t="s">
        <v>13</v>
      </c>
      <c r="T4" s="6">
        <v>9080</v>
      </c>
      <c r="U4" s="6">
        <v>7900</v>
      </c>
      <c r="V4" s="6">
        <v>8749</v>
      </c>
      <c r="W4" s="6">
        <v>9506</v>
      </c>
      <c r="X4" s="6">
        <v>10889</v>
      </c>
      <c r="Y4" s="6">
        <v>12219</v>
      </c>
      <c r="Z4" s="6">
        <f>Y4*1.08</f>
        <v>13196.52</v>
      </c>
      <c r="AA4" s="6">
        <f>Z4*1.05</f>
        <v>13856.346000000001</v>
      </c>
      <c r="AB4" s="6">
        <f>AA4*1.04</f>
        <v>14410.599840000003</v>
      </c>
      <c r="AC4" s="6">
        <f>AB4*1.03</f>
        <v>14842.917835200004</v>
      </c>
      <c r="AD4" s="6">
        <f>AC4*1.02</f>
        <v>15139.776191904004</v>
      </c>
      <c r="AE4" s="6">
        <f t="shared" ref="AE4:AJ4" si="1">AD4*1.02</f>
        <v>15442.571715742084</v>
      </c>
      <c r="AF4" s="6">
        <f t="shared" si="1"/>
        <v>15751.423150056926</v>
      </c>
      <c r="AG4" s="6">
        <f t="shared" si="1"/>
        <v>16066.451613058065</v>
      </c>
      <c r="AH4" s="6">
        <f t="shared" si="1"/>
        <v>16387.780645319228</v>
      </c>
      <c r="AI4" s="6">
        <f t="shared" si="1"/>
        <v>16715.536258225613</v>
      </c>
      <c r="AJ4" s="6">
        <f t="shared" si="1"/>
        <v>17049.846983390125</v>
      </c>
    </row>
    <row r="5" spans="2:36" s="2" customFormat="1" x14ac:dyDescent="0.3">
      <c r="B5" s="2" t="s">
        <v>14</v>
      </c>
      <c r="T5" s="9">
        <f t="shared" ref="T5:Z5" si="2">T3+T4</f>
        <v>36709</v>
      </c>
      <c r="U5" s="9">
        <f t="shared" si="2"/>
        <v>32637</v>
      </c>
      <c r="V5" s="9">
        <f t="shared" si="2"/>
        <v>34392</v>
      </c>
      <c r="W5" s="9">
        <f t="shared" si="2"/>
        <v>35466</v>
      </c>
      <c r="X5" s="9">
        <f t="shared" si="2"/>
        <v>36662</v>
      </c>
      <c r="Y5" s="9">
        <f t="shared" si="2"/>
        <v>38498</v>
      </c>
      <c r="Z5" s="9">
        <f t="shared" si="2"/>
        <v>39738.31</v>
      </c>
      <c r="AA5" s="9">
        <f t="shared" ref="AA5:AJ5" si="3">AA3+AA4</f>
        <v>40663.553899999999</v>
      </c>
      <c r="AB5" s="9">
        <f t="shared" si="3"/>
        <v>41485.879819000009</v>
      </c>
      <c r="AC5" s="9">
        <f t="shared" si="3"/>
        <v>42188.950613990004</v>
      </c>
      <c r="AD5" s="9">
        <f t="shared" si="3"/>
        <v>42759.269298481908</v>
      </c>
      <c r="AE5" s="9">
        <f t="shared" si="3"/>
        <v>43338.259753385762</v>
      </c>
      <c r="AF5" s="9">
        <f t="shared" si="3"/>
        <v>43926.068068077046</v>
      </c>
      <c r="AG5" s="9">
        <f t="shared" si="3"/>
        <v>44522.842980258385</v>
      </c>
      <c r="AH5" s="9">
        <f t="shared" si="3"/>
        <v>45128.735926191555</v>
      </c>
      <c r="AI5" s="9">
        <f t="shared" si="3"/>
        <v>45743.901091906664</v>
      </c>
      <c r="AJ5" s="9">
        <f t="shared" si="3"/>
        <v>46368.495465407985</v>
      </c>
    </row>
    <row r="6" spans="2:36" x14ac:dyDescent="0.3">
      <c r="B6" s="1" t="s">
        <v>15</v>
      </c>
      <c r="T6" s="6">
        <v>19269</v>
      </c>
      <c r="U6" s="6">
        <v>17638</v>
      </c>
      <c r="V6" s="6">
        <v>18344</v>
      </c>
      <c r="W6" s="6">
        <v>16955</v>
      </c>
      <c r="X6" s="6">
        <v>16977</v>
      </c>
      <c r="Y6" s="6">
        <v>17227</v>
      </c>
      <c r="Z6" s="6">
        <f>Z3*0.66</f>
        <v>17517.581400000003</v>
      </c>
      <c r="AA6" s="6">
        <f t="shared" ref="AA6:AJ6" si="4">AA3*0.66</f>
        <v>17692.757214000001</v>
      </c>
      <c r="AB6" s="6">
        <f t="shared" si="4"/>
        <v>17869.684786140002</v>
      </c>
      <c r="AC6" s="6">
        <f t="shared" si="4"/>
        <v>18048.381634001402</v>
      </c>
      <c r="AD6" s="6">
        <f t="shared" si="4"/>
        <v>18228.865450341415</v>
      </c>
      <c r="AE6" s="6">
        <f t="shared" si="4"/>
        <v>18411.154104844831</v>
      </c>
      <c r="AF6" s="6">
        <f t="shared" si="4"/>
        <v>18595.26564589328</v>
      </c>
      <c r="AG6" s="6">
        <f t="shared" si="4"/>
        <v>18781.218302352212</v>
      </c>
      <c r="AH6" s="6">
        <f t="shared" si="4"/>
        <v>18969.030485375733</v>
      </c>
      <c r="AI6" s="6">
        <f t="shared" si="4"/>
        <v>19158.720790229494</v>
      </c>
      <c r="AJ6" s="6">
        <f t="shared" si="4"/>
        <v>19350.30799813179</v>
      </c>
    </row>
    <row r="7" spans="2:36" x14ac:dyDescent="0.3">
      <c r="B7" s="1" t="s">
        <v>16</v>
      </c>
      <c r="T7" s="6">
        <v>5070</v>
      </c>
      <c r="U7" s="6">
        <v>4531</v>
      </c>
      <c r="V7" s="6">
        <v>5050</v>
      </c>
      <c r="W7" s="6">
        <v>5392</v>
      </c>
      <c r="X7" s="6">
        <v>6018</v>
      </c>
      <c r="Y7" s="6">
        <v>6609</v>
      </c>
      <c r="Z7" s="6">
        <f>Z4*0.53</f>
        <v>6994.155600000001</v>
      </c>
      <c r="AA7" s="6">
        <f t="shared" ref="AA7:AJ7" si="5">AA4*0.53</f>
        <v>7343.8633800000007</v>
      </c>
      <c r="AB7" s="6">
        <f t="shared" si="5"/>
        <v>7637.6179152000013</v>
      </c>
      <c r="AC7" s="6">
        <f t="shared" si="5"/>
        <v>7866.7464526560025</v>
      </c>
      <c r="AD7" s="6">
        <f t="shared" si="5"/>
        <v>8024.081381709123</v>
      </c>
      <c r="AE7" s="6">
        <f t="shared" si="5"/>
        <v>8184.5630093433047</v>
      </c>
      <c r="AF7" s="6">
        <f t="shared" si="5"/>
        <v>8348.2542695301709</v>
      </c>
      <c r="AG7" s="6">
        <f t="shared" si="5"/>
        <v>8515.219354920775</v>
      </c>
      <c r="AH7" s="6">
        <f t="shared" si="5"/>
        <v>8685.5237420191916</v>
      </c>
      <c r="AI7" s="6">
        <f t="shared" si="5"/>
        <v>8859.2342168595751</v>
      </c>
      <c r="AJ7" s="6">
        <f t="shared" si="5"/>
        <v>9036.4189011967665</v>
      </c>
    </row>
    <row r="8" spans="2:36" x14ac:dyDescent="0.3">
      <c r="B8" s="1" t="s">
        <v>17</v>
      </c>
      <c r="T8" s="6">
        <f t="shared" ref="T8:Y8" si="6">T6+T7</f>
        <v>24339</v>
      </c>
      <c r="U8" s="6">
        <f t="shared" si="6"/>
        <v>22169</v>
      </c>
      <c r="V8" s="6">
        <f t="shared" si="6"/>
        <v>23394</v>
      </c>
      <c r="W8" s="6">
        <f t="shared" si="6"/>
        <v>22347</v>
      </c>
      <c r="X8" s="6">
        <f t="shared" si="6"/>
        <v>22995</v>
      </c>
      <c r="Y8" s="6">
        <f t="shared" si="6"/>
        <v>23836</v>
      </c>
      <c r="Z8" s="6">
        <f t="shared" ref="Z8:AJ8" si="7">Z6+Z7</f>
        <v>24511.737000000005</v>
      </c>
      <c r="AA8" s="6">
        <f t="shared" si="7"/>
        <v>25036.620594</v>
      </c>
      <c r="AB8" s="6">
        <f t="shared" si="7"/>
        <v>25507.302701340002</v>
      </c>
      <c r="AC8" s="6">
        <f t="shared" si="7"/>
        <v>25915.128086657405</v>
      </c>
      <c r="AD8" s="6">
        <f t="shared" si="7"/>
        <v>26252.946832050537</v>
      </c>
      <c r="AE8" s="6">
        <f t="shared" si="7"/>
        <v>26595.717114188134</v>
      </c>
      <c r="AF8" s="6">
        <f t="shared" si="7"/>
        <v>26943.519915423451</v>
      </c>
      <c r="AG8" s="6">
        <f t="shared" si="7"/>
        <v>27296.437657272989</v>
      </c>
      <c r="AH8" s="6">
        <f t="shared" si="7"/>
        <v>27654.554227394925</v>
      </c>
      <c r="AI8" s="6">
        <f t="shared" si="7"/>
        <v>28017.955007089069</v>
      </c>
      <c r="AJ8" s="6">
        <f t="shared" si="7"/>
        <v>28386.726899328554</v>
      </c>
    </row>
    <row r="9" spans="2:36" s="2" customFormat="1" x14ac:dyDescent="0.3">
      <c r="B9" s="2" t="s">
        <v>18</v>
      </c>
      <c r="T9" s="9">
        <f t="shared" ref="T9:Y9" si="8">T5-T8</f>
        <v>12370</v>
      </c>
      <c r="U9" s="9">
        <f t="shared" si="8"/>
        <v>10468</v>
      </c>
      <c r="V9" s="9">
        <f t="shared" si="8"/>
        <v>10998</v>
      </c>
      <c r="W9" s="9">
        <f t="shared" si="8"/>
        <v>13119</v>
      </c>
      <c r="X9" s="9">
        <f t="shared" si="8"/>
        <v>13667</v>
      </c>
      <c r="Y9" s="9">
        <f t="shared" si="8"/>
        <v>14662</v>
      </c>
      <c r="Z9" s="9">
        <f t="shared" ref="Z9:AJ9" si="9">Z5-Z8</f>
        <v>15226.572999999993</v>
      </c>
      <c r="AA9" s="9">
        <f t="shared" si="9"/>
        <v>15626.933305999999</v>
      </c>
      <c r="AB9" s="9">
        <f t="shared" si="9"/>
        <v>15978.577117660006</v>
      </c>
      <c r="AC9" s="9">
        <f t="shared" si="9"/>
        <v>16273.822527332599</v>
      </c>
      <c r="AD9" s="9">
        <f t="shared" si="9"/>
        <v>16506.322466431371</v>
      </c>
      <c r="AE9" s="9">
        <f t="shared" si="9"/>
        <v>16742.542639197629</v>
      </c>
      <c r="AF9" s="9">
        <f t="shared" si="9"/>
        <v>16982.548152653595</v>
      </c>
      <c r="AG9" s="9">
        <f t="shared" si="9"/>
        <v>17226.405322985396</v>
      </c>
      <c r="AH9" s="9">
        <f t="shared" si="9"/>
        <v>17474.18169879663</v>
      </c>
      <c r="AI9" s="9">
        <f t="shared" si="9"/>
        <v>17725.946084817595</v>
      </c>
      <c r="AJ9" s="9">
        <f t="shared" si="9"/>
        <v>17981.76856607943</v>
      </c>
    </row>
    <row r="10" spans="2:36" x14ac:dyDescent="0.3">
      <c r="B10" s="1" t="s">
        <v>19</v>
      </c>
      <c r="T10" s="6"/>
      <c r="U10" s="6"/>
      <c r="V10" s="6"/>
      <c r="W10" s="6">
        <v>1478</v>
      </c>
      <c r="X10" s="6">
        <v>1456</v>
      </c>
      <c r="Y10" s="6">
        <v>1536</v>
      </c>
      <c r="Z10" s="6">
        <f>Y10*1.03</f>
        <v>1582.08</v>
      </c>
      <c r="AA10" s="6">
        <f>Z10*1.02</f>
        <v>1613.7215999999999</v>
      </c>
      <c r="AB10" s="6">
        <f t="shared" ref="AB10:AJ10" si="10">AA10*1.02</f>
        <v>1645.9960319999998</v>
      </c>
      <c r="AC10" s="6">
        <f t="shared" si="10"/>
        <v>1678.9159526399999</v>
      </c>
      <c r="AD10" s="6">
        <f t="shared" si="10"/>
        <v>1712.4942716927999</v>
      </c>
      <c r="AE10" s="6">
        <f t="shared" si="10"/>
        <v>1746.7441571266559</v>
      </c>
      <c r="AF10" s="6">
        <f t="shared" si="10"/>
        <v>1781.679040269189</v>
      </c>
      <c r="AG10" s="6">
        <f t="shared" si="10"/>
        <v>1817.3126210745729</v>
      </c>
      <c r="AH10" s="6">
        <f t="shared" si="10"/>
        <v>1853.6588734960644</v>
      </c>
      <c r="AI10" s="6">
        <f t="shared" si="10"/>
        <v>1890.7320509659858</v>
      </c>
      <c r="AJ10" s="6">
        <f t="shared" si="10"/>
        <v>1928.5466919853054</v>
      </c>
    </row>
    <row r="11" spans="2:36" x14ac:dyDescent="0.3">
      <c r="B11" s="1" t="s">
        <v>20</v>
      </c>
      <c r="T11" s="6">
        <v>5519</v>
      </c>
      <c r="U11" s="6">
        <v>4772</v>
      </c>
      <c r="V11" s="6">
        <v>4798</v>
      </c>
      <c r="W11" s="6">
        <v>5214</v>
      </c>
      <c r="X11" s="6">
        <v>5127</v>
      </c>
      <c r="Y11" s="6">
        <v>5466</v>
      </c>
      <c r="Z11" s="6">
        <f>Y11*1.03</f>
        <v>5629.9800000000005</v>
      </c>
      <c r="AA11" s="6">
        <f>Z11*1.02</f>
        <v>5742.5796000000009</v>
      </c>
      <c r="AB11" s="6">
        <f>AA11*1.01</f>
        <v>5800.0053960000014</v>
      </c>
      <c r="AC11" s="6">
        <f t="shared" ref="AC11:AJ11" si="11">AB11*1.01</f>
        <v>5858.0054499600019</v>
      </c>
      <c r="AD11" s="6">
        <f t="shared" si="11"/>
        <v>5916.5855044596019</v>
      </c>
      <c r="AE11" s="6">
        <f t="shared" si="11"/>
        <v>5975.7513595041983</v>
      </c>
      <c r="AF11" s="6">
        <f t="shared" si="11"/>
        <v>6035.5088730992402</v>
      </c>
      <c r="AG11" s="6">
        <f t="shared" si="11"/>
        <v>6095.8639618302323</v>
      </c>
      <c r="AH11" s="6">
        <f t="shared" si="11"/>
        <v>6156.8226014485344</v>
      </c>
      <c r="AI11" s="6">
        <f t="shared" si="11"/>
        <v>6218.3908274630203</v>
      </c>
      <c r="AJ11" s="6">
        <f t="shared" si="11"/>
        <v>6280.5747357376504</v>
      </c>
    </row>
    <row r="12" spans="2:36" x14ac:dyDescent="0.3">
      <c r="B12" s="1" t="s">
        <v>21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219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</row>
    <row r="13" spans="2:36" x14ac:dyDescent="0.3">
      <c r="B13" s="1" t="s">
        <v>23</v>
      </c>
      <c r="T13" s="6">
        <f t="shared" ref="T13:Y13" si="12">SUM(T10:T12)</f>
        <v>5519</v>
      </c>
      <c r="U13" s="6">
        <f t="shared" si="12"/>
        <v>4772</v>
      </c>
      <c r="V13" s="6">
        <f t="shared" si="12"/>
        <v>4798</v>
      </c>
      <c r="W13" s="6">
        <f t="shared" si="12"/>
        <v>6692</v>
      </c>
      <c r="X13" s="6">
        <f t="shared" si="12"/>
        <v>6583</v>
      </c>
      <c r="Y13" s="6">
        <f t="shared" si="12"/>
        <v>7221</v>
      </c>
      <c r="Z13" s="6">
        <f t="shared" ref="Z13:AJ13" si="13">SUM(Z10:Z12)</f>
        <v>7212.06</v>
      </c>
      <c r="AA13" s="6">
        <f t="shared" si="13"/>
        <v>7356.3012000000008</v>
      </c>
      <c r="AB13" s="6">
        <f t="shared" si="13"/>
        <v>7446.0014280000014</v>
      </c>
      <c r="AC13" s="6">
        <f t="shared" si="13"/>
        <v>7536.9214026000018</v>
      </c>
      <c r="AD13" s="6">
        <f t="shared" si="13"/>
        <v>7629.0797761524018</v>
      </c>
      <c r="AE13" s="6">
        <f t="shared" si="13"/>
        <v>7722.4955166308537</v>
      </c>
      <c r="AF13" s="6">
        <f t="shared" si="13"/>
        <v>7817.1879133684288</v>
      </c>
      <c r="AG13" s="6">
        <f t="shared" si="13"/>
        <v>7913.1765829048054</v>
      </c>
      <c r="AH13" s="6">
        <f t="shared" si="13"/>
        <v>8010.4814749445986</v>
      </c>
      <c r="AI13" s="6">
        <f t="shared" si="13"/>
        <v>8109.1228784290061</v>
      </c>
      <c r="AJ13" s="6">
        <f t="shared" si="13"/>
        <v>8209.1214277229556</v>
      </c>
    </row>
    <row r="14" spans="2:36" s="2" customFormat="1" x14ac:dyDescent="0.3">
      <c r="B14" s="2" t="s">
        <v>24</v>
      </c>
      <c r="T14" s="9">
        <f t="shared" ref="T14:Y14" si="14">T9-T13</f>
        <v>6851</v>
      </c>
      <c r="U14" s="9">
        <f t="shared" si="14"/>
        <v>5696</v>
      </c>
      <c r="V14" s="9">
        <f t="shared" si="14"/>
        <v>6200</v>
      </c>
      <c r="W14" s="9">
        <f t="shared" si="14"/>
        <v>6427</v>
      </c>
      <c r="X14" s="9">
        <f t="shared" si="14"/>
        <v>7084</v>
      </c>
      <c r="Y14" s="9">
        <f t="shared" si="14"/>
        <v>7441</v>
      </c>
      <c r="Z14" s="9">
        <f t="shared" ref="Z14:AJ14" si="15">Z9-Z13</f>
        <v>8014.5129999999926</v>
      </c>
      <c r="AA14" s="9">
        <f t="shared" si="15"/>
        <v>8270.6321059999973</v>
      </c>
      <c r="AB14" s="9">
        <f t="shared" si="15"/>
        <v>8532.5756896600051</v>
      </c>
      <c r="AC14" s="9">
        <f t="shared" si="15"/>
        <v>8736.901124732598</v>
      </c>
      <c r="AD14" s="9">
        <f t="shared" si="15"/>
        <v>8877.2426902789703</v>
      </c>
      <c r="AE14" s="9">
        <f t="shared" si="15"/>
        <v>9020.0471225667752</v>
      </c>
      <c r="AF14" s="9">
        <f t="shared" si="15"/>
        <v>9165.3602392851662</v>
      </c>
      <c r="AG14" s="9">
        <f t="shared" si="15"/>
        <v>9313.2287400805908</v>
      </c>
      <c r="AH14" s="9">
        <f t="shared" si="15"/>
        <v>9463.7002238520327</v>
      </c>
      <c r="AI14" s="9">
        <f t="shared" si="15"/>
        <v>9616.823206388588</v>
      </c>
      <c r="AJ14" s="9">
        <f t="shared" si="15"/>
        <v>9772.6471383564749</v>
      </c>
    </row>
    <row r="15" spans="2:36" x14ac:dyDescent="0.3">
      <c r="B15" s="1" t="s">
        <v>22</v>
      </c>
      <c r="T15" s="6">
        <v>-1065</v>
      </c>
      <c r="U15" s="6">
        <v>-675</v>
      </c>
      <c r="V15" s="6">
        <v>-1378</v>
      </c>
      <c r="W15" s="6">
        <v>-366</v>
      </c>
      <c r="X15" s="6">
        <v>-840</v>
      </c>
      <c r="Y15" s="6">
        <v>-830</v>
      </c>
      <c r="Z15" s="6">
        <f>Y15*1.01</f>
        <v>-838.3</v>
      </c>
      <c r="AA15" s="6">
        <f t="shared" ref="AA15:AJ15" si="16">Z15*1.01</f>
        <v>-846.68299999999999</v>
      </c>
      <c r="AB15" s="6">
        <f t="shared" si="16"/>
        <v>-855.14982999999995</v>
      </c>
      <c r="AC15" s="6">
        <f t="shared" si="16"/>
        <v>-863.7013283</v>
      </c>
      <c r="AD15" s="6">
        <f t="shared" si="16"/>
        <v>-872.33834158299999</v>
      </c>
      <c r="AE15" s="6">
        <f t="shared" si="16"/>
        <v>-881.06172499882996</v>
      </c>
      <c r="AF15" s="6">
        <f t="shared" si="16"/>
        <v>-889.87234224881831</v>
      </c>
      <c r="AG15" s="6">
        <f t="shared" si="16"/>
        <v>-898.77106567130647</v>
      </c>
      <c r="AH15" s="6">
        <f t="shared" si="16"/>
        <v>-907.75877632801951</v>
      </c>
      <c r="AI15" s="6">
        <f t="shared" si="16"/>
        <v>-916.83636409129974</v>
      </c>
      <c r="AJ15" s="6">
        <f t="shared" si="16"/>
        <v>-926.0047277322127</v>
      </c>
    </row>
    <row r="16" spans="2:36" x14ac:dyDescent="0.3">
      <c r="B16" s="1" t="s">
        <v>26</v>
      </c>
      <c r="T16" s="6">
        <v>357</v>
      </c>
      <c r="U16" s="6">
        <v>359</v>
      </c>
      <c r="V16" s="6">
        <v>343</v>
      </c>
      <c r="W16" s="6">
        <v>414</v>
      </c>
      <c r="X16" s="6">
        <v>765</v>
      </c>
      <c r="Y16" s="6">
        <v>1058</v>
      </c>
      <c r="Z16" s="6">
        <f>Y16*1.02</f>
        <v>1079.1600000000001</v>
      </c>
      <c r="AA16" s="6">
        <f t="shared" ref="AA16:AJ16" si="17">Z16*1.02</f>
        <v>1100.7432000000001</v>
      </c>
      <c r="AB16" s="6">
        <f t="shared" si="17"/>
        <v>1122.7580640000001</v>
      </c>
      <c r="AC16" s="6">
        <f t="shared" si="17"/>
        <v>1145.2132252800002</v>
      </c>
      <c r="AD16" s="6">
        <f t="shared" si="17"/>
        <v>1168.1174897856001</v>
      </c>
      <c r="AE16" s="6">
        <f t="shared" si="17"/>
        <v>1191.4798395813123</v>
      </c>
      <c r="AF16" s="6">
        <f t="shared" si="17"/>
        <v>1215.3094363729385</v>
      </c>
      <c r="AG16" s="6">
        <f t="shared" si="17"/>
        <v>1239.6156251003974</v>
      </c>
      <c r="AH16" s="6">
        <f t="shared" si="17"/>
        <v>1264.4079376024054</v>
      </c>
      <c r="AI16" s="6">
        <f t="shared" si="17"/>
        <v>1289.6960963544534</v>
      </c>
      <c r="AJ16" s="6">
        <f t="shared" si="17"/>
        <v>1315.4900182815425</v>
      </c>
    </row>
    <row r="17" spans="2:136" x14ac:dyDescent="0.3">
      <c r="B17" s="1" t="s">
        <v>25</v>
      </c>
      <c r="T17" s="6">
        <f t="shared" ref="T17:Y17" si="18">SUM(T15:T16)</f>
        <v>-708</v>
      </c>
      <c r="U17" s="6">
        <f t="shared" si="18"/>
        <v>-316</v>
      </c>
      <c r="V17" s="6">
        <f t="shared" si="18"/>
        <v>-1035</v>
      </c>
      <c r="W17" s="6">
        <f t="shared" si="18"/>
        <v>48</v>
      </c>
      <c r="X17" s="6">
        <f t="shared" si="18"/>
        <v>-75</v>
      </c>
      <c r="Y17" s="6">
        <f t="shared" si="18"/>
        <v>228</v>
      </c>
      <c r="Z17" s="6">
        <f t="shared" ref="Z17:AJ17" si="19">SUM(Z15:Z16)</f>
        <v>240.86000000000013</v>
      </c>
      <c r="AA17" s="6">
        <f t="shared" si="19"/>
        <v>254.06020000000012</v>
      </c>
      <c r="AB17" s="6">
        <f t="shared" si="19"/>
        <v>267.60823400000015</v>
      </c>
      <c r="AC17" s="6">
        <f t="shared" si="19"/>
        <v>281.51189698000019</v>
      </c>
      <c r="AD17" s="6">
        <f t="shared" si="19"/>
        <v>295.77914820260014</v>
      </c>
      <c r="AE17" s="6">
        <f t="shared" si="19"/>
        <v>310.4181145824823</v>
      </c>
      <c r="AF17" s="6">
        <f t="shared" si="19"/>
        <v>325.43709412412022</v>
      </c>
      <c r="AG17" s="6">
        <f t="shared" si="19"/>
        <v>340.84455942909096</v>
      </c>
      <c r="AH17" s="6">
        <f t="shared" si="19"/>
        <v>356.64916127438585</v>
      </c>
      <c r="AI17" s="6">
        <f t="shared" si="19"/>
        <v>372.85973226315366</v>
      </c>
      <c r="AJ17" s="6">
        <f t="shared" si="19"/>
        <v>389.48529054932976</v>
      </c>
    </row>
    <row r="18" spans="2:136" s="2" customFormat="1" x14ac:dyDescent="0.3">
      <c r="B18" s="2" t="s">
        <v>27</v>
      </c>
      <c r="T18" s="9">
        <f t="shared" ref="T18:Y18" si="20">T14-T17</f>
        <v>7559</v>
      </c>
      <c r="U18" s="9">
        <f t="shared" si="20"/>
        <v>6012</v>
      </c>
      <c r="V18" s="9">
        <f t="shared" si="20"/>
        <v>7235</v>
      </c>
      <c r="W18" s="9">
        <f t="shared" si="20"/>
        <v>6379</v>
      </c>
      <c r="X18" s="9">
        <f t="shared" si="20"/>
        <v>7159</v>
      </c>
      <c r="Y18" s="9">
        <f t="shared" si="20"/>
        <v>7213</v>
      </c>
      <c r="Z18" s="9">
        <f t="shared" ref="Z18:AJ18" si="21">Z14-Z17</f>
        <v>7773.652999999993</v>
      </c>
      <c r="AA18" s="9">
        <f t="shared" si="21"/>
        <v>8016.5719059999974</v>
      </c>
      <c r="AB18" s="9">
        <f t="shared" si="21"/>
        <v>8264.9674556600057</v>
      </c>
      <c r="AC18" s="9">
        <f t="shared" si="21"/>
        <v>8455.3892277525974</v>
      </c>
      <c r="AD18" s="9">
        <f t="shared" si="21"/>
        <v>8581.4635420763698</v>
      </c>
      <c r="AE18" s="9">
        <f t="shared" si="21"/>
        <v>8709.6290079842929</v>
      </c>
      <c r="AF18" s="9">
        <f t="shared" si="21"/>
        <v>8839.9231451610467</v>
      </c>
      <c r="AG18" s="9">
        <f t="shared" si="21"/>
        <v>8972.3841806514993</v>
      </c>
      <c r="AH18" s="9">
        <f t="shared" si="21"/>
        <v>9107.051062577646</v>
      </c>
      <c r="AI18" s="9">
        <f t="shared" si="21"/>
        <v>9243.963474125434</v>
      </c>
      <c r="AJ18" s="9">
        <f t="shared" si="21"/>
        <v>9383.161847807145</v>
      </c>
    </row>
    <row r="19" spans="2:136" x14ac:dyDescent="0.3">
      <c r="B19" s="1" t="s">
        <v>28</v>
      </c>
      <c r="T19" s="6">
        <v>1329</v>
      </c>
      <c r="U19" s="6">
        <v>1147</v>
      </c>
      <c r="V19" s="6">
        <v>1625</v>
      </c>
      <c r="W19" s="6">
        <v>1412</v>
      </c>
      <c r="X19" s="6">
        <v>1487</v>
      </c>
      <c r="Y19" s="6">
        <v>1473</v>
      </c>
      <c r="Z19" s="6">
        <f>Z18*0.21</f>
        <v>1632.4671299999984</v>
      </c>
      <c r="AA19" s="6">
        <f t="shared" ref="AA19:AJ19" si="22">AA18*0.21</f>
        <v>1683.4801002599993</v>
      </c>
      <c r="AB19" s="6">
        <f t="shared" si="22"/>
        <v>1735.6431656886011</v>
      </c>
      <c r="AC19" s="6">
        <f t="shared" si="22"/>
        <v>1775.6317378280453</v>
      </c>
      <c r="AD19" s="6">
        <f t="shared" si="22"/>
        <v>1802.1073438360377</v>
      </c>
      <c r="AE19" s="6">
        <f t="shared" si="22"/>
        <v>1829.0220916767014</v>
      </c>
      <c r="AF19" s="6">
        <f t="shared" si="22"/>
        <v>1856.3838604838197</v>
      </c>
      <c r="AG19" s="6">
        <f t="shared" si="22"/>
        <v>1884.2006779368148</v>
      </c>
      <c r="AH19" s="6">
        <f t="shared" si="22"/>
        <v>1912.4807231413056</v>
      </c>
      <c r="AI19" s="6">
        <f t="shared" si="22"/>
        <v>1941.2323295663411</v>
      </c>
      <c r="AJ19" s="6">
        <f t="shared" si="22"/>
        <v>1970.4639880395005</v>
      </c>
    </row>
    <row r="20" spans="2:136" x14ac:dyDescent="0.3">
      <c r="B20" s="1" t="s">
        <v>29</v>
      </c>
      <c r="T20" s="6">
        <v>87</v>
      </c>
      <c r="U20" s="6">
        <v>86</v>
      </c>
      <c r="V20" s="6">
        <v>68</v>
      </c>
      <c r="W20" s="6">
        <v>1</v>
      </c>
      <c r="X20" s="6">
        <v>14</v>
      </c>
      <c r="Y20" s="6">
        <v>35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</row>
    <row r="21" spans="2:136" s="2" customFormat="1" x14ac:dyDescent="0.3">
      <c r="B21" s="2" t="s">
        <v>30</v>
      </c>
      <c r="T21" s="9">
        <f t="shared" ref="T21:Y21" si="23">T18-T19-T20</f>
        <v>6143</v>
      </c>
      <c r="U21" s="9">
        <f t="shared" si="23"/>
        <v>4779</v>
      </c>
      <c r="V21" s="9">
        <f t="shared" si="23"/>
        <v>5542</v>
      </c>
      <c r="W21" s="9">
        <f t="shared" si="23"/>
        <v>4966</v>
      </c>
      <c r="X21" s="9">
        <f t="shared" si="23"/>
        <v>5658</v>
      </c>
      <c r="Y21" s="9">
        <f t="shared" si="23"/>
        <v>5705</v>
      </c>
      <c r="Z21" s="9">
        <f t="shared" ref="Z21:AJ21" si="24">Z18-Z19-Z20</f>
        <v>6141.1858699999948</v>
      </c>
      <c r="AA21" s="9">
        <f t="shared" si="24"/>
        <v>6333.0918057399977</v>
      </c>
      <c r="AB21" s="9">
        <f t="shared" si="24"/>
        <v>6529.3242899714041</v>
      </c>
      <c r="AC21" s="9">
        <f t="shared" si="24"/>
        <v>6679.7574899245519</v>
      </c>
      <c r="AD21" s="9">
        <f t="shared" si="24"/>
        <v>6779.3561982403317</v>
      </c>
      <c r="AE21" s="9">
        <f t="shared" si="24"/>
        <v>6880.6069163075917</v>
      </c>
      <c r="AF21" s="9">
        <f t="shared" si="24"/>
        <v>6983.5392846772265</v>
      </c>
      <c r="AG21" s="9">
        <f t="shared" si="24"/>
        <v>7088.1835027146844</v>
      </c>
      <c r="AH21" s="9">
        <f t="shared" si="24"/>
        <v>7194.5703394363409</v>
      </c>
      <c r="AI21" s="9">
        <f t="shared" si="24"/>
        <v>7302.7311445590931</v>
      </c>
      <c r="AJ21" s="9">
        <f t="shared" si="24"/>
        <v>7412.6978597676443</v>
      </c>
      <c r="AK21" s="2">
        <f>AJ21*(1+$AM$26)</f>
        <v>7338.5708811699678</v>
      </c>
      <c r="AL21" s="2">
        <f t="shared" ref="AL21:CW21" si="25">AK21*(1+$AM$26)</f>
        <v>7265.1851723582677</v>
      </c>
      <c r="AM21" s="2">
        <f t="shared" si="25"/>
        <v>7192.533320634685</v>
      </c>
      <c r="AN21" s="2">
        <f t="shared" si="25"/>
        <v>7120.6079874283378</v>
      </c>
      <c r="AO21" s="2">
        <f t="shared" si="25"/>
        <v>7049.4019075540546</v>
      </c>
      <c r="AP21" s="2">
        <f t="shared" si="25"/>
        <v>6978.907888478514</v>
      </c>
      <c r="AQ21" s="2">
        <f t="shared" si="25"/>
        <v>6909.1188095937287</v>
      </c>
      <c r="AR21" s="2">
        <f t="shared" si="25"/>
        <v>6840.0276214977912</v>
      </c>
      <c r="AS21" s="2">
        <f t="shared" si="25"/>
        <v>6771.6273452828136</v>
      </c>
      <c r="AT21" s="2">
        <f t="shared" si="25"/>
        <v>6703.9110718299853</v>
      </c>
      <c r="AU21" s="2">
        <f t="shared" si="25"/>
        <v>6636.8719611116858</v>
      </c>
      <c r="AV21" s="2">
        <f t="shared" si="25"/>
        <v>6570.5032415005689</v>
      </c>
      <c r="AW21" s="2">
        <f t="shared" si="25"/>
        <v>6504.798209085563</v>
      </c>
      <c r="AX21" s="2">
        <f t="shared" si="25"/>
        <v>6439.7502269947072</v>
      </c>
      <c r="AY21" s="2">
        <f t="shared" si="25"/>
        <v>6375.3527247247603</v>
      </c>
      <c r="AZ21" s="2">
        <f t="shared" si="25"/>
        <v>6311.5991974775125</v>
      </c>
      <c r="BA21" s="2">
        <f t="shared" si="25"/>
        <v>6248.4832055027373</v>
      </c>
      <c r="BB21" s="2">
        <f t="shared" si="25"/>
        <v>6185.99837344771</v>
      </c>
      <c r="BC21" s="2">
        <f t="shared" si="25"/>
        <v>6124.1383897132328</v>
      </c>
      <c r="BD21" s="2">
        <f t="shared" si="25"/>
        <v>6062.8970058161003</v>
      </c>
      <c r="BE21" s="2">
        <f t="shared" si="25"/>
        <v>6002.2680357579393</v>
      </c>
      <c r="BF21" s="2">
        <f t="shared" si="25"/>
        <v>5942.2453554003596</v>
      </c>
      <c r="BG21" s="2">
        <f t="shared" si="25"/>
        <v>5882.8229018463562</v>
      </c>
      <c r="BH21" s="2">
        <f t="shared" si="25"/>
        <v>5823.9946728278928</v>
      </c>
      <c r="BI21" s="2">
        <f t="shared" si="25"/>
        <v>5765.7547260996134</v>
      </c>
      <c r="BJ21" s="2">
        <f t="shared" si="25"/>
        <v>5708.0971788386169</v>
      </c>
      <c r="BK21" s="2">
        <f t="shared" si="25"/>
        <v>5651.0162070502311</v>
      </c>
      <c r="BL21" s="2">
        <f t="shared" si="25"/>
        <v>5594.5060449797284</v>
      </c>
      <c r="BM21" s="2">
        <f t="shared" si="25"/>
        <v>5538.5609845299314</v>
      </c>
      <c r="BN21" s="2">
        <f t="shared" si="25"/>
        <v>5483.1753746846316</v>
      </c>
      <c r="BO21" s="2">
        <f t="shared" si="25"/>
        <v>5428.3436209377851</v>
      </c>
      <c r="BP21" s="2">
        <f t="shared" si="25"/>
        <v>5374.060184728407</v>
      </c>
      <c r="BQ21" s="2">
        <f t="shared" si="25"/>
        <v>5320.3195828811231</v>
      </c>
      <c r="BR21" s="2">
        <f t="shared" si="25"/>
        <v>5267.1163870523114</v>
      </c>
      <c r="BS21" s="2">
        <f t="shared" si="25"/>
        <v>5214.4452231817886</v>
      </c>
      <c r="BT21" s="2">
        <f t="shared" si="25"/>
        <v>5162.3007709499707</v>
      </c>
      <c r="BU21" s="2">
        <f t="shared" si="25"/>
        <v>5110.677763240471</v>
      </c>
      <c r="BV21" s="2">
        <f t="shared" si="25"/>
        <v>5059.5709856080666</v>
      </c>
      <c r="BW21" s="2">
        <f t="shared" si="25"/>
        <v>5008.9752757519855</v>
      </c>
      <c r="BX21" s="2">
        <f t="shared" si="25"/>
        <v>4958.8855229944656</v>
      </c>
      <c r="BY21" s="2">
        <f t="shared" si="25"/>
        <v>4909.2966677645209</v>
      </c>
      <c r="BZ21" s="2">
        <f t="shared" si="25"/>
        <v>4860.2037010868753</v>
      </c>
      <c r="CA21" s="2">
        <f t="shared" si="25"/>
        <v>4811.6016640760063</v>
      </c>
      <c r="CB21" s="2">
        <f t="shared" si="25"/>
        <v>4763.4856474352464</v>
      </c>
      <c r="CC21" s="2">
        <f t="shared" si="25"/>
        <v>4715.8507909608943</v>
      </c>
      <c r="CD21" s="2">
        <f t="shared" si="25"/>
        <v>4668.6922830512849</v>
      </c>
      <c r="CE21" s="2">
        <f t="shared" si="25"/>
        <v>4622.0053602207718</v>
      </c>
      <c r="CF21" s="2">
        <f t="shared" si="25"/>
        <v>4575.7853066185644</v>
      </c>
      <c r="CG21" s="2">
        <f t="shared" si="25"/>
        <v>4530.0274535523786</v>
      </c>
      <c r="CH21" s="2">
        <f t="shared" si="25"/>
        <v>4484.7271790168552</v>
      </c>
      <c r="CI21" s="2">
        <f t="shared" si="25"/>
        <v>4439.8799072266866</v>
      </c>
      <c r="CJ21" s="2">
        <f t="shared" si="25"/>
        <v>4395.4811081544194</v>
      </c>
      <c r="CK21" s="2">
        <f t="shared" si="25"/>
        <v>4351.5262970728754</v>
      </c>
      <c r="CL21" s="2">
        <f t="shared" si="25"/>
        <v>4308.0110341021464</v>
      </c>
      <c r="CM21" s="2">
        <f t="shared" si="25"/>
        <v>4264.9309237611251</v>
      </c>
      <c r="CN21" s="2">
        <f t="shared" si="25"/>
        <v>4222.2816145235138</v>
      </c>
      <c r="CO21" s="2">
        <f t="shared" si="25"/>
        <v>4180.0587983782789</v>
      </c>
      <c r="CP21" s="2">
        <f t="shared" si="25"/>
        <v>4138.258210394496</v>
      </c>
      <c r="CQ21" s="2">
        <f t="shared" si="25"/>
        <v>4096.8756282905506</v>
      </c>
      <c r="CR21" s="2">
        <f t="shared" si="25"/>
        <v>4055.9068720076452</v>
      </c>
      <c r="CS21" s="2">
        <f t="shared" si="25"/>
        <v>4015.3478032875687</v>
      </c>
      <c r="CT21" s="2">
        <f t="shared" si="25"/>
        <v>3975.194325254693</v>
      </c>
      <c r="CU21" s="2">
        <f t="shared" si="25"/>
        <v>3935.4423820021461</v>
      </c>
      <c r="CV21" s="2">
        <f t="shared" si="25"/>
        <v>3896.0879581821246</v>
      </c>
      <c r="CW21" s="2">
        <f t="shared" si="25"/>
        <v>3857.1270786003033</v>
      </c>
      <c r="CX21" s="2">
        <f t="shared" ref="CX21:EF21" si="26">CW21*(1+$AM$26)</f>
        <v>3818.5558078143004</v>
      </c>
      <c r="CY21" s="2">
        <f t="shared" si="26"/>
        <v>3780.3702497361573</v>
      </c>
      <c r="CZ21" s="2">
        <f t="shared" si="26"/>
        <v>3742.5665472387959</v>
      </c>
      <c r="DA21" s="2">
        <f t="shared" si="26"/>
        <v>3705.1408817664078</v>
      </c>
      <c r="DB21" s="2">
        <f t="shared" si="26"/>
        <v>3668.0894729487436</v>
      </c>
      <c r="DC21" s="2">
        <f t="shared" si="26"/>
        <v>3631.408578219256</v>
      </c>
      <c r="DD21" s="2">
        <f t="shared" si="26"/>
        <v>3595.0944924370633</v>
      </c>
      <c r="DE21" s="2">
        <f t="shared" si="26"/>
        <v>3559.1435475126927</v>
      </c>
      <c r="DF21" s="2">
        <f t="shared" si="26"/>
        <v>3523.5521120375656</v>
      </c>
      <c r="DG21" s="2">
        <f t="shared" si="26"/>
        <v>3488.3165909171898</v>
      </c>
      <c r="DH21" s="2">
        <f t="shared" si="26"/>
        <v>3453.4334250080178</v>
      </c>
      <c r="DI21" s="2">
        <f t="shared" si="26"/>
        <v>3418.8990907579378</v>
      </c>
      <c r="DJ21" s="2">
        <f t="shared" si="26"/>
        <v>3384.7100998503583</v>
      </c>
      <c r="DK21" s="2">
        <f t="shared" si="26"/>
        <v>3350.8629988518546</v>
      </c>
      <c r="DL21" s="2">
        <f t="shared" si="26"/>
        <v>3317.3543688633363</v>
      </c>
      <c r="DM21" s="2">
        <f t="shared" si="26"/>
        <v>3284.1808251747029</v>
      </c>
      <c r="DN21" s="2">
        <f t="shared" si="26"/>
        <v>3251.339016922956</v>
      </c>
      <c r="DO21" s="2">
        <f t="shared" si="26"/>
        <v>3218.8256267537263</v>
      </c>
      <c r="DP21" s="2">
        <f t="shared" si="26"/>
        <v>3186.637370486189</v>
      </c>
      <c r="DQ21" s="2">
        <f t="shared" si="26"/>
        <v>3154.7709967813271</v>
      </c>
      <c r="DR21" s="2">
        <f t="shared" si="26"/>
        <v>3123.2232868135138</v>
      </c>
      <c r="DS21" s="2">
        <f t="shared" si="26"/>
        <v>3091.9910539453786</v>
      </c>
      <c r="DT21" s="2">
        <f t="shared" si="26"/>
        <v>3061.0711434059249</v>
      </c>
      <c r="DU21" s="2">
        <f t="shared" si="26"/>
        <v>3030.4604319718655</v>
      </c>
      <c r="DV21" s="2">
        <f t="shared" si="26"/>
        <v>3000.1558276521469</v>
      </c>
      <c r="DW21" s="2">
        <f t="shared" si="26"/>
        <v>2970.1542693756255</v>
      </c>
      <c r="DX21" s="2">
        <f t="shared" si="26"/>
        <v>2940.4527266818691</v>
      </c>
      <c r="DY21" s="2">
        <f t="shared" si="26"/>
        <v>2911.0481994150505</v>
      </c>
      <c r="DZ21" s="2">
        <f t="shared" si="26"/>
        <v>2881.9377174208998</v>
      </c>
      <c r="EA21" s="2">
        <f t="shared" si="26"/>
        <v>2853.1183402466909</v>
      </c>
      <c r="EB21" s="2">
        <f t="shared" si="26"/>
        <v>2824.587156844224</v>
      </c>
      <c r="EC21" s="2">
        <f t="shared" si="26"/>
        <v>2796.3412852757815</v>
      </c>
      <c r="ED21" s="2">
        <f t="shared" si="26"/>
        <v>2768.3778724230237</v>
      </c>
      <c r="EE21" s="2">
        <f t="shared" si="26"/>
        <v>2740.6940936987935</v>
      </c>
      <c r="EF21" s="2">
        <f t="shared" si="26"/>
        <v>2713.2871527618054</v>
      </c>
    </row>
    <row r="22" spans="2:136" x14ac:dyDescent="0.3">
      <c r="B22" s="1" t="s">
        <v>2</v>
      </c>
      <c r="T22" s="6">
        <f t="shared" ref="T22:AJ22" si="27">649.9</f>
        <v>649.9</v>
      </c>
      <c r="U22" s="6">
        <f t="shared" si="27"/>
        <v>649.9</v>
      </c>
      <c r="V22" s="6">
        <f t="shared" si="27"/>
        <v>649.9</v>
      </c>
      <c r="W22" s="6">
        <f t="shared" si="27"/>
        <v>649.9</v>
      </c>
      <c r="X22" s="6">
        <f t="shared" si="27"/>
        <v>649.9</v>
      </c>
      <c r="Y22" s="6">
        <f t="shared" si="27"/>
        <v>649.9</v>
      </c>
      <c r="Z22" s="6">
        <f t="shared" si="27"/>
        <v>649.9</v>
      </c>
      <c r="AA22" s="6">
        <f t="shared" si="27"/>
        <v>649.9</v>
      </c>
      <c r="AB22" s="6">
        <f t="shared" si="27"/>
        <v>649.9</v>
      </c>
      <c r="AC22" s="6">
        <f t="shared" si="27"/>
        <v>649.9</v>
      </c>
      <c r="AD22" s="6">
        <f t="shared" si="27"/>
        <v>649.9</v>
      </c>
      <c r="AE22" s="6">
        <f t="shared" si="27"/>
        <v>649.9</v>
      </c>
      <c r="AF22" s="6">
        <f t="shared" si="27"/>
        <v>649.9</v>
      </c>
      <c r="AG22" s="6">
        <f t="shared" si="27"/>
        <v>649.9</v>
      </c>
      <c r="AH22" s="6">
        <f t="shared" si="27"/>
        <v>649.9</v>
      </c>
      <c r="AI22" s="6">
        <f t="shared" si="27"/>
        <v>649.9</v>
      </c>
      <c r="AJ22" s="6">
        <f t="shared" si="27"/>
        <v>649.9</v>
      </c>
    </row>
    <row r="23" spans="2:136" x14ac:dyDescent="0.3">
      <c r="B23" s="1" t="s">
        <v>31</v>
      </c>
      <c r="T23" s="8">
        <f t="shared" ref="T23:Y23" si="28">T21/T22</f>
        <v>9.4522234189875363</v>
      </c>
      <c r="U23" s="8">
        <f t="shared" si="28"/>
        <v>7.3534389906139408</v>
      </c>
      <c r="V23" s="8">
        <f t="shared" si="28"/>
        <v>8.5274657639636864</v>
      </c>
      <c r="W23" s="8">
        <f t="shared" si="28"/>
        <v>7.6411755654716114</v>
      </c>
      <c r="X23" s="8">
        <f t="shared" si="28"/>
        <v>8.7059547622711193</v>
      </c>
      <c r="Y23" s="8">
        <f t="shared" si="28"/>
        <v>8.778273580550854</v>
      </c>
      <c r="Z23" s="8">
        <f t="shared" ref="Z23:AJ23" si="29">Z21/Z22</f>
        <v>9.4494320203108089</v>
      </c>
      <c r="AA23" s="8">
        <f t="shared" si="29"/>
        <v>9.7447173499615296</v>
      </c>
      <c r="AB23" s="8">
        <f t="shared" si="29"/>
        <v>10.046659932253277</v>
      </c>
      <c r="AC23" s="8">
        <f t="shared" si="29"/>
        <v>10.278131235458613</v>
      </c>
      <c r="AD23" s="8">
        <f t="shared" si="29"/>
        <v>10.431383594768937</v>
      </c>
      <c r="AE23" s="8">
        <f t="shared" si="29"/>
        <v>10.587177898611467</v>
      </c>
      <c r="AF23" s="8">
        <f t="shared" si="29"/>
        <v>10.745559754850326</v>
      </c>
      <c r="AG23" s="8">
        <f t="shared" si="29"/>
        <v>10.906575631196622</v>
      </c>
      <c r="AH23" s="8">
        <f t="shared" si="29"/>
        <v>11.070272871882352</v>
      </c>
      <c r="AI23" s="8">
        <f t="shared" si="29"/>
        <v>11.2366997146624</v>
      </c>
      <c r="AJ23" s="8">
        <f t="shared" si="29"/>
        <v>11.405905308151477</v>
      </c>
    </row>
    <row r="25" spans="2:136" x14ac:dyDescent="0.3">
      <c r="B25" s="1" t="s">
        <v>47</v>
      </c>
      <c r="T25" s="10"/>
      <c r="U25" s="10">
        <f t="shared" ref="U25:Y27" si="30">U3/T3-1</f>
        <v>-0.10467262658800536</v>
      </c>
      <c r="V25" s="10">
        <f t="shared" si="30"/>
        <v>3.6625298136394813E-2</v>
      </c>
      <c r="W25" s="10">
        <f t="shared" si="30"/>
        <v>1.2362048122294578E-2</v>
      </c>
      <c r="X25" s="10">
        <f t="shared" si="30"/>
        <v>-7.2033898305084998E-3</v>
      </c>
      <c r="Y25" s="10">
        <f t="shared" si="30"/>
        <v>1.9632949210413919E-2</v>
      </c>
      <c r="Z25" s="10">
        <f t="shared" ref="Z25:Z27" si="31">Z3/Y3-1</f>
        <v>1.0000000000000009E-2</v>
      </c>
      <c r="AA25" s="10">
        <f t="shared" ref="AA25:AA27" si="32">AA3/Z3-1</f>
        <v>1.0000000000000009E-2</v>
      </c>
      <c r="AB25" s="10">
        <f t="shared" ref="AB25:AB27" si="33">AB3/AA3-1</f>
        <v>1.0000000000000009E-2</v>
      </c>
      <c r="AC25" s="10">
        <f t="shared" ref="AC25:AC27" si="34">AC3/AB3-1</f>
        <v>1.0000000000000009E-2</v>
      </c>
      <c r="AD25" s="10">
        <f t="shared" ref="AD25:AD27" si="35">AD3/AC3-1</f>
        <v>1.0000000000000009E-2</v>
      </c>
      <c r="AE25" s="10">
        <f t="shared" ref="AE25:AE27" si="36">AE3/AD3-1</f>
        <v>1.0000000000000009E-2</v>
      </c>
      <c r="AF25" s="10">
        <f t="shared" ref="AF25:AF27" si="37">AF3/AE3-1</f>
        <v>1.0000000000000009E-2</v>
      </c>
      <c r="AG25" s="10">
        <f t="shared" ref="AG25:AG27" si="38">AG3/AF3-1</f>
        <v>1.0000000000000009E-2</v>
      </c>
      <c r="AH25" s="10">
        <f t="shared" ref="AH25:AH27" si="39">AH3/AG3-1</f>
        <v>1.0000000000000009E-2</v>
      </c>
      <c r="AI25" s="10">
        <f t="shared" ref="AI25:AI27" si="40">AI3/AH3-1</f>
        <v>1.0000000000000009E-2</v>
      </c>
      <c r="AJ25" s="10">
        <f t="shared" ref="AJ25:AJ27" si="41">AJ3/AI3-1</f>
        <v>1.0000000000000009E-2</v>
      </c>
    </row>
    <row r="26" spans="2:136" x14ac:dyDescent="0.3">
      <c r="B26" s="1" t="s">
        <v>48</v>
      </c>
      <c r="T26" s="10"/>
      <c r="U26" s="10">
        <f t="shared" si="30"/>
        <v>-0.12995594713656389</v>
      </c>
      <c r="V26" s="10">
        <f t="shared" si="30"/>
        <v>0.10746835443037983</v>
      </c>
      <c r="W26" s="10">
        <f t="shared" si="30"/>
        <v>8.6524174191336067E-2</v>
      </c>
      <c r="X26" s="10">
        <f t="shared" si="30"/>
        <v>0.14548706080370288</v>
      </c>
      <c r="Y26" s="10">
        <f t="shared" si="30"/>
        <v>0.12214161079988983</v>
      </c>
      <c r="Z26" s="10">
        <f t="shared" si="31"/>
        <v>8.0000000000000071E-2</v>
      </c>
      <c r="AA26" s="10">
        <f t="shared" si="32"/>
        <v>5.0000000000000044E-2</v>
      </c>
      <c r="AB26" s="10">
        <f t="shared" si="33"/>
        <v>4.0000000000000036E-2</v>
      </c>
      <c r="AC26" s="10">
        <f t="shared" si="34"/>
        <v>3.0000000000000027E-2</v>
      </c>
      <c r="AD26" s="10">
        <f t="shared" si="35"/>
        <v>2.0000000000000018E-2</v>
      </c>
      <c r="AE26" s="10">
        <f t="shared" si="36"/>
        <v>2.0000000000000018E-2</v>
      </c>
      <c r="AF26" s="10">
        <f t="shared" si="37"/>
        <v>2.0000000000000018E-2</v>
      </c>
      <c r="AG26" s="10">
        <f t="shared" si="38"/>
        <v>2.0000000000000018E-2</v>
      </c>
      <c r="AH26" s="10">
        <f t="shared" si="39"/>
        <v>2.0000000000000018E-2</v>
      </c>
      <c r="AI26" s="10">
        <f t="shared" si="40"/>
        <v>2.0000000000000018E-2</v>
      </c>
      <c r="AJ26" s="10">
        <f t="shared" si="41"/>
        <v>2.0000000000000018E-2</v>
      </c>
      <c r="AL26" s="1" t="s">
        <v>57</v>
      </c>
      <c r="AM26" s="10">
        <v>-0.01</v>
      </c>
    </row>
    <row r="27" spans="2:136" s="2" customFormat="1" x14ac:dyDescent="0.3">
      <c r="B27" s="2" t="s">
        <v>49</v>
      </c>
      <c r="T27" s="11"/>
      <c r="U27" s="11">
        <f t="shared" si="30"/>
        <v>-0.11092647579612624</v>
      </c>
      <c r="V27" s="11">
        <f t="shared" si="30"/>
        <v>5.377332475411345E-2</v>
      </c>
      <c r="W27" s="11">
        <f t="shared" si="30"/>
        <v>3.1228192602930971E-2</v>
      </c>
      <c r="X27" s="11">
        <f t="shared" si="30"/>
        <v>3.3722438391699194E-2</v>
      </c>
      <c r="Y27" s="11">
        <f t="shared" si="30"/>
        <v>5.0079100976487823E-2</v>
      </c>
      <c r="Z27" s="11">
        <f t="shared" si="31"/>
        <v>3.2217517793132089E-2</v>
      </c>
      <c r="AA27" s="11">
        <f t="shared" si="32"/>
        <v>2.3283423477244103E-2</v>
      </c>
      <c r="AB27" s="11">
        <f t="shared" si="33"/>
        <v>2.0222677069059891E-2</v>
      </c>
      <c r="AC27" s="11">
        <f t="shared" si="34"/>
        <v>1.6947231155695519E-2</v>
      </c>
      <c r="AD27" s="11">
        <f t="shared" si="35"/>
        <v>1.3518200291589677E-2</v>
      </c>
      <c r="AE27" s="11">
        <f t="shared" si="36"/>
        <v>1.3540700400238359E-2</v>
      </c>
      <c r="AF27" s="11">
        <f t="shared" si="37"/>
        <v>1.3563265300364558E-2</v>
      </c>
      <c r="AG27" s="11">
        <f t="shared" si="38"/>
        <v>1.358589417237277E-2</v>
      </c>
      <c r="AH27" s="11">
        <f t="shared" si="39"/>
        <v>1.3608586185788418E-2</v>
      </c>
      <c r="AI27" s="11">
        <f t="shared" si="40"/>
        <v>1.3631340499348665E-2</v>
      </c>
      <c r="AJ27" s="11">
        <f t="shared" si="41"/>
        <v>1.3654156261102779E-2</v>
      </c>
      <c r="AL27" s="1" t="s">
        <v>58</v>
      </c>
      <c r="AM27" s="10">
        <v>0.06</v>
      </c>
    </row>
    <row r="28" spans="2:136" x14ac:dyDescent="0.3">
      <c r="B28" s="1" t="s">
        <v>50</v>
      </c>
      <c r="T28" s="10">
        <f t="shared" ref="T28:Y29" si="42">(T3-T6)/T3</f>
        <v>0.30258062181041662</v>
      </c>
      <c r="U28" s="10">
        <f t="shared" si="42"/>
        <v>0.28697901928285563</v>
      </c>
      <c r="V28" s="10">
        <f t="shared" si="42"/>
        <v>0.28463908279062511</v>
      </c>
      <c r="W28" s="10">
        <f t="shared" si="42"/>
        <v>0.34687981510015409</v>
      </c>
      <c r="X28" s="10">
        <f t="shared" si="42"/>
        <v>0.34128739378419276</v>
      </c>
      <c r="Y28" s="10">
        <f t="shared" si="42"/>
        <v>0.34445755165721681</v>
      </c>
      <c r="Z28" s="10">
        <f t="shared" ref="Z28:AJ28" si="43">(Z3-Z6)/Z3</f>
        <v>0.33999999999999991</v>
      </c>
      <c r="AA28" s="10">
        <f t="shared" si="43"/>
        <v>0.33999999999999997</v>
      </c>
      <c r="AB28" s="10">
        <f t="shared" si="43"/>
        <v>0.33999999999999997</v>
      </c>
      <c r="AC28" s="10">
        <f t="shared" si="43"/>
        <v>0.33999999999999997</v>
      </c>
      <c r="AD28" s="10">
        <f t="shared" si="43"/>
        <v>0.34</v>
      </c>
      <c r="AE28" s="10">
        <f t="shared" si="43"/>
        <v>0.33999999999999997</v>
      </c>
      <c r="AF28" s="10">
        <f t="shared" si="43"/>
        <v>0.33999999999999997</v>
      </c>
      <c r="AG28" s="10">
        <f t="shared" si="43"/>
        <v>0.34</v>
      </c>
      <c r="AH28" s="10">
        <f t="shared" si="43"/>
        <v>0.34</v>
      </c>
      <c r="AI28" s="10">
        <f t="shared" si="43"/>
        <v>0.33999999999999991</v>
      </c>
      <c r="AJ28" s="10">
        <f t="shared" si="43"/>
        <v>0.33999999999999991</v>
      </c>
      <c r="AL28" s="1" t="s">
        <v>59</v>
      </c>
      <c r="AM28" s="6">
        <f>NPV(AM27,Z21:EF21)</f>
        <v>108619.57438714338</v>
      </c>
    </row>
    <row r="29" spans="2:136" x14ac:dyDescent="0.3">
      <c r="B29" s="1" t="s">
        <v>51</v>
      </c>
      <c r="T29" s="10">
        <f t="shared" si="42"/>
        <v>0.44162995594713655</v>
      </c>
      <c r="U29" s="10">
        <f t="shared" si="42"/>
        <v>0.42645569620253165</v>
      </c>
      <c r="V29" s="10">
        <f t="shared" si="42"/>
        <v>0.42279117613441536</v>
      </c>
      <c r="W29" s="10">
        <f t="shared" si="42"/>
        <v>0.43277929728592468</v>
      </c>
      <c r="X29" s="10">
        <f t="shared" si="42"/>
        <v>0.44733217007989712</v>
      </c>
      <c r="Y29" s="10">
        <f t="shared" si="42"/>
        <v>0.45912104100171863</v>
      </c>
      <c r="Z29" s="10">
        <f t="shared" ref="Z29:AJ29" si="44">(Z4-Z7)/Z4</f>
        <v>0.46999999999999992</v>
      </c>
      <c r="AA29" s="10">
        <f t="shared" si="44"/>
        <v>0.47000000000000003</v>
      </c>
      <c r="AB29" s="10">
        <f t="shared" si="44"/>
        <v>0.47000000000000003</v>
      </c>
      <c r="AC29" s="10">
        <f t="shared" si="44"/>
        <v>0.47</v>
      </c>
      <c r="AD29" s="10">
        <f t="shared" si="44"/>
        <v>0.46999999999999992</v>
      </c>
      <c r="AE29" s="10">
        <f t="shared" si="44"/>
        <v>0.47</v>
      </c>
      <c r="AF29" s="10">
        <f t="shared" si="44"/>
        <v>0.47</v>
      </c>
      <c r="AG29" s="10">
        <f t="shared" si="44"/>
        <v>0.47</v>
      </c>
      <c r="AH29" s="10">
        <f t="shared" si="44"/>
        <v>0.47</v>
      </c>
      <c r="AI29" s="10">
        <f t="shared" si="44"/>
        <v>0.47</v>
      </c>
      <c r="AJ29" s="10">
        <f t="shared" si="44"/>
        <v>0.47</v>
      </c>
      <c r="AL29" s="1" t="s">
        <v>60</v>
      </c>
      <c r="AM29" s="6">
        <f>Main!D8</f>
        <v>-20146</v>
      </c>
    </row>
    <row r="30" spans="2:136" x14ac:dyDescent="0.3">
      <c r="B30" s="1" t="s">
        <v>52</v>
      </c>
      <c r="T30" s="10">
        <f t="shared" ref="T30:Y30" si="45">T9/T5</f>
        <v>0.3369745838895094</v>
      </c>
      <c r="U30" s="10">
        <f t="shared" si="45"/>
        <v>0.32074026411741274</v>
      </c>
      <c r="V30" s="10">
        <f t="shared" si="45"/>
        <v>0.31978367062107466</v>
      </c>
      <c r="W30" s="10">
        <f t="shared" si="45"/>
        <v>0.36990356961597021</v>
      </c>
      <c r="X30" s="10">
        <f t="shared" si="45"/>
        <v>0.3727838088483989</v>
      </c>
      <c r="Y30" s="10">
        <f t="shared" si="45"/>
        <v>0.38085095329627511</v>
      </c>
      <c r="Z30" s="10">
        <f t="shared" ref="Z30:AJ30" si="46">Z9/Z5</f>
        <v>0.38317112630104283</v>
      </c>
      <c r="AA30" s="10">
        <f t="shared" si="46"/>
        <v>0.38429826729925837</v>
      </c>
      <c r="AB30" s="10">
        <f t="shared" si="46"/>
        <v>0.38515700251202145</v>
      </c>
      <c r="AC30" s="10">
        <f t="shared" si="46"/>
        <v>0.3857366037906651</v>
      </c>
      <c r="AD30" s="10">
        <f t="shared" si="46"/>
        <v>0.38602910520310035</v>
      </c>
      <c r="AE30" s="10">
        <f t="shared" si="46"/>
        <v>0.38632244890473788</v>
      </c>
      <c r="AF30" s="10">
        <f t="shared" si="46"/>
        <v>0.38661662424084664</v>
      </c>
      <c r="AG30" s="10">
        <f t="shared" si="46"/>
        <v>0.38691162041524746</v>
      </c>
      <c r="AH30" s="10">
        <f t="shared" si="46"/>
        <v>0.38720742649153322</v>
      </c>
      <c r="AI30" s="10">
        <f t="shared" si="46"/>
        <v>0.38750403139433587</v>
      </c>
      <c r="AJ30" s="10">
        <f t="shared" si="46"/>
        <v>0.38780142391064343</v>
      </c>
      <c r="AL30" s="1" t="s">
        <v>61</v>
      </c>
      <c r="AM30" s="6">
        <f>AM28+AM29</f>
        <v>88473.574387143381</v>
      </c>
    </row>
    <row r="31" spans="2:136" x14ac:dyDescent="0.3">
      <c r="B31" s="1" t="s">
        <v>54</v>
      </c>
      <c r="T31" s="10"/>
      <c r="U31" s="10"/>
      <c r="V31" s="10"/>
      <c r="W31" s="10"/>
      <c r="X31" s="10">
        <f>X10/W10-1</f>
        <v>-1.4884979702300405E-2</v>
      </c>
      <c r="Y31" s="10">
        <f>Y10/X10-1</f>
        <v>5.4945054945054972E-2</v>
      </c>
      <c r="Z31" s="10">
        <f t="shared" ref="Z31:AJ31" si="47">Z10/Y10-1</f>
        <v>3.0000000000000027E-2</v>
      </c>
      <c r="AA31" s="10">
        <f t="shared" si="47"/>
        <v>2.0000000000000018E-2</v>
      </c>
      <c r="AB31" s="10">
        <f t="shared" si="47"/>
        <v>2.0000000000000018E-2</v>
      </c>
      <c r="AC31" s="10">
        <f t="shared" si="47"/>
        <v>2.0000000000000018E-2</v>
      </c>
      <c r="AD31" s="10">
        <f t="shared" si="47"/>
        <v>2.0000000000000018E-2</v>
      </c>
      <c r="AE31" s="10">
        <f t="shared" si="47"/>
        <v>2.0000000000000018E-2</v>
      </c>
      <c r="AF31" s="10">
        <f t="shared" si="47"/>
        <v>2.0000000000000018E-2</v>
      </c>
      <c r="AG31" s="10">
        <f t="shared" si="47"/>
        <v>2.0000000000000018E-2</v>
      </c>
      <c r="AH31" s="10">
        <f t="shared" si="47"/>
        <v>2.0000000000000018E-2</v>
      </c>
      <c r="AI31" s="10">
        <f t="shared" si="47"/>
        <v>2.0000000000000018E-2</v>
      </c>
      <c r="AJ31" s="10">
        <f t="shared" si="47"/>
        <v>2.0000000000000018E-2</v>
      </c>
      <c r="AL31" s="1" t="s">
        <v>62</v>
      </c>
      <c r="AM31" s="5">
        <f>AM30/AJ22</f>
        <v>136.1341350779249</v>
      </c>
    </row>
    <row r="32" spans="2:136" x14ac:dyDescent="0.3">
      <c r="B32" s="1" t="s">
        <v>53</v>
      </c>
      <c r="T32" s="10"/>
      <c r="U32" s="10">
        <f t="shared" ref="U32:W32" si="48">U11/T11-1</f>
        <v>-0.13535060699402068</v>
      </c>
      <c r="V32" s="10">
        <f t="shared" si="48"/>
        <v>5.4484492875104262E-3</v>
      </c>
      <c r="W32" s="10">
        <f t="shared" si="48"/>
        <v>8.6702792830345876E-2</v>
      </c>
      <c r="X32" s="10">
        <f>X11/W11-1</f>
        <v>-1.6685845799769838E-2</v>
      </c>
      <c r="Y32" s="10">
        <f>Y11/X11-1</f>
        <v>6.6120538326506662E-2</v>
      </c>
      <c r="Z32" s="10">
        <f t="shared" ref="Z32:AJ32" si="49">Z11/Y11-1</f>
        <v>3.0000000000000027E-2</v>
      </c>
      <c r="AA32" s="10">
        <f t="shared" si="49"/>
        <v>2.0000000000000018E-2</v>
      </c>
      <c r="AB32" s="10">
        <f t="shared" si="49"/>
        <v>1.0000000000000009E-2</v>
      </c>
      <c r="AC32" s="10">
        <f t="shared" si="49"/>
        <v>1.0000000000000009E-2</v>
      </c>
      <c r="AD32" s="10">
        <f t="shared" si="49"/>
        <v>1.0000000000000009E-2</v>
      </c>
      <c r="AE32" s="10">
        <f t="shared" si="49"/>
        <v>1.0000000000000009E-2</v>
      </c>
      <c r="AF32" s="10">
        <f t="shared" si="49"/>
        <v>1.0000000000000009E-2</v>
      </c>
      <c r="AG32" s="10">
        <f t="shared" si="49"/>
        <v>1.0000000000000009E-2</v>
      </c>
      <c r="AH32" s="10">
        <f t="shared" si="49"/>
        <v>1.0000000000000009E-2</v>
      </c>
      <c r="AI32" s="10">
        <f t="shared" si="49"/>
        <v>1.0000000000000009E-2</v>
      </c>
      <c r="AJ32" s="10">
        <f t="shared" si="49"/>
        <v>1.0000000000000009E-2</v>
      </c>
      <c r="AL32" s="1" t="s">
        <v>63</v>
      </c>
      <c r="AM32" s="5">
        <f>Main!D3</f>
        <v>227</v>
      </c>
    </row>
    <row r="33" spans="2:39" x14ac:dyDescent="0.3">
      <c r="B33" s="1" t="s">
        <v>55</v>
      </c>
      <c r="T33" s="10">
        <f t="shared" ref="T33:Y33" si="50">T14/T5</f>
        <v>0.18662998174834508</v>
      </c>
      <c r="U33" s="10">
        <f t="shared" si="50"/>
        <v>0.17452584489996018</v>
      </c>
      <c r="V33" s="10">
        <f t="shared" si="50"/>
        <v>0.18027448243777622</v>
      </c>
      <c r="W33" s="10">
        <f t="shared" si="50"/>
        <v>0.18121581232729939</v>
      </c>
      <c r="X33" s="10">
        <f t="shared" si="50"/>
        <v>0.19322459222082811</v>
      </c>
      <c r="Y33" s="10">
        <f t="shared" si="50"/>
        <v>0.19328276793599666</v>
      </c>
      <c r="Z33" s="10">
        <f t="shared" ref="Z33:AJ33" si="51">Z14/Z5</f>
        <v>0.20168228090223245</v>
      </c>
      <c r="AA33" s="10">
        <f t="shared" si="51"/>
        <v>0.20339176763396466</v>
      </c>
      <c r="AB33" s="10">
        <f t="shared" si="51"/>
        <v>0.20567421317535112</v>
      </c>
      <c r="AC33" s="10">
        <f t="shared" si="51"/>
        <v>0.2070897947823194</v>
      </c>
      <c r="AD33" s="10">
        <f t="shared" si="51"/>
        <v>0.20760978463666452</v>
      </c>
      <c r="AE33" s="10">
        <f t="shared" si="51"/>
        <v>0.20813127185758981</v>
      </c>
      <c r="AF33" s="10">
        <f t="shared" si="51"/>
        <v>0.20865423750381215</v>
      </c>
      <c r="AG33" s="10">
        <f t="shared" si="51"/>
        <v>0.20917866238259122</v>
      </c>
      <c r="AH33" s="10">
        <f t="shared" si="51"/>
        <v>0.20970452705189876</v>
      </c>
      <c r="AI33" s="10">
        <f t="shared" si="51"/>
        <v>0.21023181182267081</v>
      </c>
      <c r="AJ33" s="10">
        <f t="shared" si="51"/>
        <v>0.21076049676114908</v>
      </c>
      <c r="AL33" s="2" t="s">
        <v>64</v>
      </c>
      <c r="AM33" s="11">
        <f>AM31/AM32-1</f>
        <v>-0.4002901538417406</v>
      </c>
    </row>
    <row r="34" spans="2:39" x14ac:dyDescent="0.3">
      <c r="B34" s="1" t="s">
        <v>28</v>
      </c>
      <c r="T34" s="10">
        <f t="shared" ref="T34:X34" si="52">T19/T18</f>
        <v>0.1758169069982802</v>
      </c>
      <c r="U34" s="10">
        <f t="shared" si="52"/>
        <v>0.19078509647371922</v>
      </c>
      <c r="V34" s="10">
        <f t="shared" si="52"/>
        <v>0.22460262612301313</v>
      </c>
      <c r="W34" s="10">
        <f t="shared" si="52"/>
        <v>0.22135130898259917</v>
      </c>
      <c r="X34" s="10">
        <f t="shared" si="52"/>
        <v>0.20771057410252827</v>
      </c>
      <c r="Y34" s="10">
        <f>Y19/Y18</f>
        <v>0.20421461250519896</v>
      </c>
      <c r="Z34" s="10">
        <f t="shared" ref="Z34:AJ34" si="53">Z19/Z18</f>
        <v>0.21</v>
      </c>
      <c r="AA34" s="10">
        <f t="shared" si="53"/>
        <v>0.21</v>
      </c>
      <c r="AB34" s="10">
        <f t="shared" si="53"/>
        <v>0.21</v>
      </c>
      <c r="AC34" s="10">
        <f t="shared" si="53"/>
        <v>0.21</v>
      </c>
      <c r="AD34" s="10">
        <f t="shared" si="53"/>
        <v>0.21</v>
      </c>
      <c r="AE34" s="10">
        <f t="shared" si="53"/>
        <v>0.21</v>
      </c>
      <c r="AF34" s="10">
        <f t="shared" si="53"/>
        <v>0.21</v>
      </c>
      <c r="AG34" s="10">
        <f t="shared" si="53"/>
        <v>0.21</v>
      </c>
      <c r="AH34" s="10">
        <f t="shared" si="53"/>
        <v>0.21</v>
      </c>
      <c r="AI34" s="10">
        <f t="shared" si="53"/>
        <v>0.21</v>
      </c>
      <c r="AJ34" s="10">
        <f t="shared" si="53"/>
        <v>0.21</v>
      </c>
      <c r="AL34" s="1" t="s">
        <v>65</v>
      </c>
      <c r="AM34" s="7" t="s">
        <v>66</v>
      </c>
    </row>
    <row r="35" spans="2:39" x14ac:dyDescent="0.3">
      <c r="B35" s="1" t="s">
        <v>56</v>
      </c>
      <c r="T35" s="10">
        <f t="shared" ref="T35:Y35" si="54">T21/T5</f>
        <v>0.16734315835353727</v>
      </c>
      <c r="U35" s="10">
        <f t="shared" si="54"/>
        <v>0.14642889971504733</v>
      </c>
      <c r="V35" s="10">
        <f t="shared" si="54"/>
        <v>0.16114212607583159</v>
      </c>
      <c r="W35" s="10">
        <f t="shared" si="54"/>
        <v>0.14002142897422884</v>
      </c>
      <c r="X35" s="10">
        <f t="shared" si="54"/>
        <v>0.15432873274780426</v>
      </c>
      <c r="Y35" s="10">
        <f t="shared" si="54"/>
        <v>0.1481895163385111</v>
      </c>
      <c r="Z35" s="10">
        <f t="shared" ref="Z35:AJ35" si="55">Z21/Z5</f>
        <v>0.15454069058296629</v>
      </c>
      <c r="AA35" s="10">
        <f t="shared" si="55"/>
        <v>0.15574368687287801</v>
      </c>
      <c r="AB35" s="10">
        <f t="shared" si="55"/>
        <v>0.15738666549819816</v>
      </c>
      <c r="AC35" s="10">
        <f t="shared" si="55"/>
        <v>0.15832954820425235</v>
      </c>
      <c r="AD35" s="10">
        <f t="shared" si="55"/>
        <v>0.15854705446243489</v>
      </c>
      <c r="AE35" s="10">
        <f t="shared" si="55"/>
        <v>0.15876518705322612</v>
      </c>
      <c r="AF35" s="10">
        <f t="shared" si="55"/>
        <v>0.1589839380536876</v>
      </c>
      <c r="AG35" s="10">
        <f t="shared" si="55"/>
        <v>0.159203299435699</v>
      </c>
      <c r="AH35" s="10">
        <f t="shared" si="55"/>
        <v>0.15942326306686552</v>
      </c>
      <c r="AI35" s="10">
        <f t="shared" si="55"/>
        <v>0.15964382071145969</v>
      </c>
      <c r="AJ35" s="10">
        <f t="shared" si="55"/>
        <v>0.15986496403140135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2025-04-23T18:31:42Z</dcterms:created>
  <dcterms:modified xsi:type="dcterms:W3CDTF">2025-05-28T10:16:38Z</dcterms:modified>
</cp:coreProperties>
</file>