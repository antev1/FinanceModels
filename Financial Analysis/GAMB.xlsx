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0393D98-408D-48D8-9786-4699B1C75C6F}" xr6:coauthVersionLast="47" xr6:coauthVersionMax="47" xr10:uidLastSave="{00000000-0000-0000-0000-000000000000}"/>
  <bookViews>
    <workbookView xWindow="-108" yWindow="-108" windowWidth="23256" windowHeight="12576" activeTab="1" xr2:uid="{D6459E68-7D6A-410F-A9B8-1584227EFF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96" i="2" l="1"/>
  <c r="M73" i="2"/>
  <c r="K73" i="2"/>
  <c r="J73" i="2"/>
  <c r="I73" i="2"/>
  <c r="L73" i="2"/>
  <c r="I69" i="2"/>
  <c r="I61" i="2"/>
  <c r="I50" i="2"/>
  <c r="I46" i="2"/>
  <c r="I51" i="2" s="1"/>
  <c r="I40" i="2"/>
  <c r="K69" i="2"/>
  <c r="K61" i="2"/>
  <c r="K50" i="2"/>
  <c r="K46" i="2"/>
  <c r="K40" i="2"/>
  <c r="L69" i="2"/>
  <c r="L61" i="2"/>
  <c r="L50" i="2"/>
  <c r="L46" i="2"/>
  <c r="L40" i="2"/>
  <c r="M29" i="2"/>
  <c r="M30" i="2"/>
  <c r="L30" i="2"/>
  <c r="K30" i="2"/>
  <c r="L29" i="2"/>
  <c r="K29" i="2"/>
  <c r="G5" i="2"/>
  <c r="K5" i="2"/>
  <c r="M10" i="2"/>
  <c r="M12" i="2" s="1"/>
  <c r="L10" i="2"/>
  <c r="L33" i="2" s="1"/>
  <c r="I10" i="2"/>
  <c r="I12" i="2" s="1"/>
  <c r="I32" i="2" s="1"/>
  <c r="H10" i="2"/>
  <c r="H33" i="2" s="1"/>
  <c r="H5" i="2"/>
  <c r="L5" i="2"/>
  <c r="V4" i="2"/>
  <c r="V3" i="2"/>
  <c r="I5" i="2"/>
  <c r="M5" i="2"/>
  <c r="J40" i="2"/>
  <c r="M40" i="2"/>
  <c r="J69" i="2"/>
  <c r="J61" i="2"/>
  <c r="J50" i="2"/>
  <c r="J46" i="2"/>
  <c r="M69" i="2"/>
  <c r="M61" i="2"/>
  <c r="M50" i="2"/>
  <c r="M46" i="2"/>
  <c r="AF26" i="2"/>
  <c r="AE26" i="2"/>
  <c r="AD26" i="2"/>
  <c r="AC26" i="2"/>
  <c r="AB26" i="2"/>
  <c r="AA26" i="2"/>
  <c r="Z26" i="2"/>
  <c r="Y26" i="2"/>
  <c r="X26" i="2"/>
  <c r="W26" i="2"/>
  <c r="V26" i="2"/>
  <c r="N26" i="2"/>
  <c r="M26" i="2"/>
  <c r="N10" i="2"/>
  <c r="N12" i="2" s="1"/>
  <c r="N11" i="2" s="1"/>
  <c r="D7" i="1"/>
  <c r="D6" i="1"/>
  <c r="D4" i="1"/>
  <c r="W85" i="2"/>
  <c r="V89" i="2"/>
  <c r="V87" i="2"/>
  <c r="V86" i="2"/>
  <c r="V84" i="2"/>
  <c r="V83" i="2"/>
  <c r="W83" i="2" s="1"/>
  <c r="X83" i="2" s="1"/>
  <c r="V82" i="2"/>
  <c r="V81" i="2"/>
  <c r="W81" i="2" s="1"/>
  <c r="X81" i="2" s="1"/>
  <c r="Y81" i="2" s="1"/>
  <c r="Z81" i="2" s="1"/>
  <c r="AA81" i="2" s="1"/>
  <c r="AB81" i="2" s="1"/>
  <c r="AC81" i="2" s="1"/>
  <c r="AD81" i="2" s="1"/>
  <c r="AE81" i="2" s="1"/>
  <c r="AF81" i="2" s="1"/>
  <c r="V79" i="2"/>
  <c r="N80" i="2"/>
  <c r="V80" i="2" s="1"/>
  <c r="T92" i="2"/>
  <c r="S92" i="2"/>
  <c r="S86" i="2"/>
  <c r="T86" i="2"/>
  <c r="T85" i="2"/>
  <c r="U89" i="2"/>
  <c r="U92" i="2" s="1"/>
  <c r="U87" i="2"/>
  <c r="U86" i="2"/>
  <c r="U85" i="2"/>
  <c r="U84" i="2"/>
  <c r="U83" i="2"/>
  <c r="U82" i="2"/>
  <c r="U81" i="2"/>
  <c r="U80" i="2"/>
  <c r="U79" i="2"/>
  <c r="V24" i="2"/>
  <c r="V21" i="2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V20" i="2"/>
  <c r="V19" i="2"/>
  <c r="V18" i="2"/>
  <c r="W18" i="2" s="1"/>
  <c r="V14" i="2"/>
  <c r="V13" i="2"/>
  <c r="N22" i="2"/>
  <c r="M22" i="2"/>
  <c r="N15" i="2"/>
  <c r="N35" i="2" s="1"/>
  <c r="M35" i="2"/>
  <c r="N34" i="2"/>
  <c r="M34" i="2"/>
  <c r="L26" i="2"/>
  <c r="L35" i="2"/>
  <c r="L34" i="2"/>
  <c r="L22" i="2"/>
  <c r="L16" i="2"/>
  <c r="D8" i="1"/>
  <c r="AI36" i="2" s="1"/>
  <c r="I35" i="2"/>
  <c r="H35" i="2"/>
  <c r="I34" i="2"/>
  <c r="H34" i="2"/>
  <c r="G33" i="2"/>
  <c r="F33" i="2"/>
  <c r="E33" i="2"/>
  <c r="D33" i="2"/>
  <c r="D22" i="2"/>
  <c r="D16" i="2"/>
  <c r="D12" i="2"/>
  <c r="D32" i="2" s="1"/>
  <c r="H22" i="2"/>
  <c r="H16" i="2"/>
  <c r="E22" i="2"/>
  <c r="E16" i="2"/>
  <c r="E12" i="2"/>
  <c r="E32" i="2" s="1"/>
  <c r="I22" i="2"/>
  <c r="I16" i="2"/>
  <c r="AI39" i="2"/>
  <c r="G22" i="2"/>
  <c r="G16" i="2"/>
  <c r="G12" i="2"/>
  <c r="G32" i="2" s="1"/>
  <c r="K35" i="2"/>
  <c r="K34" i="2"/>
  <c r="K33" i="2"/>
  <c r="K31" i="2"/>
  <c r="K26" i="2"/>
  <c r="K22" i="2"/>
  <c r="K16" i="2"/>
  <c r="K12" i="2"/>
  <c r="K32" i="2" s="1"/>
  <c r="D5" i="1"/>
  <c r="X20" i="2"/>
  <c r="Y20" i="2" s="1"/>
  <c r="Z20" i="2" s="1"/>
  <c r="AA20" i="2" s="1"/>
  <c r="AB20" i="2" s="1"/>
  <c r="AC20" i="2" s="1"/>
  <c r="AD20" i="2" s="1"/>
  <c r="AE20" i="2" s="1"/>
  <c r="AF20" i="2" s="1"/>
  <c r="U35" i="2"/>
  <c r="T35" i="2"/>
  <c r="S35" i="2"/>
  <c r="R35" i="2"/>
  <c r="Q35" i="2"/>
  <c r="U34" i="2"/>
  <c r="T34" i="2"/>
  <c r="S34" i="2"/>
  <c r="R34" i="2"/>
  <c r="Q34" i="2"/>
  <c r="U31" i="2"/>
  <c r="T31" i="2"/>
  <c r="S31" i="2"/>
  <c r="R31" i="2"/>
  <c r="Q31" i="2"/>
  <c r="U33" i="2"/>
  <c r="T33" i="2"/>
  <c r="S33" i="2"/>
  <c r="R33" i="2"/>
  <c r="Q33" i="2"/>
  <c r="P33" i="2"/>
  <c r="P22" i="2"/>
  <c r="P16" i="2"/>
  <c r="P12" i="2"/>
  <c r="P32" i="2" s="1"/>
  <c r="Q22" i="2"/>
  <c r="Q16" i="2"/>
  <c r="Q12" i="2"/>
  <c r="Q32" i="2" s="1"/>
  <c r="R22" i="2"/>
  <c r="R16" i="2"/>
  <c r="R12" i="2"/>
  <c r="R32" i="2" s="1"/>
  <c r="J35" i="2"/>
  <c r="J34" i="2"/>
  <c r="J33" i="2"/>
  <c r="J31" i="2"/>
  <c r="F22" i="2"/>
  <c r="F16" i="2"/>
  <c r="F12" i="2"/>
  <c r="F32" i="2" s="1"/>
  <c r="J22" i="2"/>
  <c r="J16" i="2"/>
  <c r="J12" i="2"/>
  <c r="J32" i="2" s="1"/>
  <c r="S22" i="2"/>
  <c r="S16" i="2"/>
  <c r="S12" i="2"/>
  <c r="S32" i="2" s="1"/>
  <c r="T22" i="2"/>
  <c r="T16" i="2"/>
  <c r="T12" i="2"/>
  <c r="T32" i="2" s="1"/>
  <c r="U22" i="2"/>
  <c r="U16" i="2"/>
  <c r="U12" i="2"/>
  <c r="U32" i="2" s="1"/>
  <c r="F3" i="1"/>
  <c r="I70" i="2" l="1"/>
  <c r="I71" i="2" s="1"/>
  <c r="K70" i="2"/>
  <c r="K71" i="2" s="1"/>
  <c r="K51" i="2"/>
  <c r="L70" i="2"/>
  <c r="L71" i="2" s="1"/>
  <c r="L51" i="2"/>
  <c r="M51" i="2"/>
  <c r="L12" i="2"/>
  <c r="L32" i="2" s="1"/>
  <c r="H12" i="2"/>
  <c r="H32" i="2" s="1"/>
  <c r="L31" i="2"/>
  <c r="H31" i="2"/>
  <c r="V5" i="2"/>
  <c r="I33" i="2"/>
  <c r="I31" i="2"/>
  <c r="M70" i="2"/>
  <c r="M71" i="2" s="1"/>
  <c r="J51" i="2"/>
  <c r="J70" i="2"/>
  <c r="J71" i="2" s="1"/>
  <c r="V92" i="2"/>
  <c r="W89" i="2"/>
  <c r="X89" i="2" s="1"/>
  <c r="Y89" i="2" s="1"/>
  <c r="Z89" i="2" s="1"/>
  <c r="AA89" i="2" s="1"/>
  <c r="AB89" i="2" s="1"/>
  <c r="AC89" i="2" s="1"/>
  <c r="AD89" i="2" s="1"/>
  <c r="AE89" i="2" s="1"/>
  <c r="AF89" i="2" s="1"/>
  <c r="W14" i="2"/>
  <c r="X14" i="2" s="1"/>
  <c r="V11" i="2"/>
  <c r="M16" i="2"/>
  <c r="M17" i="2" s="1"/>
  <c r="M23" i="2" s="1"/>
  <c r="U17" i="2"/>
  <c r="U23" i="2" s="1"/>
  <c r="U78" i="2" s="1"/>
  <c r="U88" i="2" s="1"/>
  <c r="U90" i="2" s="1"/>
  <c r="V15" i="2"/>
  <c r="V35" i="2" s="1"/>
  <c r="X85" i="2"/>
  <c r="Y85" i="2" s="1"/>
  <c r="Z85" i="2" s="1"/>
  <c r="AA85" i="2" s="1"/>
  <c r="AB85" i="2" s="1"/>
  <c r="AC85" i="2" s="1"/>
  <c r="AD85" i="2" s="1"/>
  <c r="AE85" i="2" s="1"/>
  <c r="AF85" i="2" s="1"/>
  <c r="N16" i="2"/>
  <c r="N17" i="2" s="1"/>
  <c r="N36" i="2" s="1"/>
  <c r="V10" i="2"/>
  <c r="W10" i="2" s="1"/>
  <c r="AI93" i="2"/>
  <c r="Y83" i="2"/>
  <c r="M33" i="2"/>
  <c r="M31" i="2"/>
  <c r="M32" i="2"/>
  <c r="N31" i="2"/>
  <c r="N32" i="2"/>
  <c r="N33" i="2"/>
  <c r="D17" i="2"/>
  <c r="E17" i="2"/>
  <c r="I17" i="2"/>
  <c r="G17" i="2"/>
  <c r="K17" i="2"/>
  <c r="D9" i="1"/>
  <c r="X18" i="2"/>
  <c r="W22" i="2"/>
  <c r="V22" i="2"/>
  <c r="V34" i="2"/>
  <c r="P17" i="2"/>
  <c r="Q17" i="2"/>
  <c r="R17" i="2"/>
  <c r="F17" i="2"/>
  <c r="F36" i="2" s="1"/>
  <c r="J17" i="2"/>
  <c r="S17" i="2"/>
  <c r="T17" i="2"/>
  <c r="H17" i="2" l="1"/>
  <c r="H23" i="2" s="1"/>
  <c r="L17" i="2"/>
  <c r="L36" i="2" s="1"/>
  <c r="W34" i="2"/>
  <c r="Y14" i="2"/>
  <c r="Z14" i="2" s="1"/>
  <c r="AA14" i="2" s="1"/>
  <c r="AB14" i="2" s="1"/>
  <c r="AC14" i="2" s="1"/>
  <c r="AD14" i="2" s="1"/>
  <c r="AE14" i="2" s="1"/>
  <c r="AF14" i="2" s="1"/>
  <c r="X34" i="2"/>
  <c r="U36" i="2"/>
  <c r="W13" i="2"/>
  <c r="W33" i="2" s="1"/>
  <c r="X10" i="2"/>
  <c r="W12" i="2"/>
  <c r="U37" i="2"/>
  <c r="U25" i="2"/>
  <c r="U27" i="2" s="1"/>
  <c r="N23" i="2"/>
  <c r="N78" i="2" s="1"/>
  <c r="N88" i="2" s="1"/>
  <c r="N90" i="2" s="1"/>
  <c r="W15" i="2"/>
  <c r="X15" i="2" s="1"/>
  <c r="V31" i="2"/>
  <c r="V33" i="2"/>
  <c r="M37" i="2"/>
  <c r="M78" i="2"/>
  <c r="M88" i="2" s="1"/>
  <c r="M90" i="2" s="1"/>
  <c r="M25" i="2"/>
  <c r="D23" i="2"/>
  <c r="D36" i="2"/>
  <c r="M36" i="2"/>
  <c r="G23" i="2"/>
  <c r="G36" i="2"/>
  <c r="V16" i="2"/>
  <c r="K23" i="2"/>
  <c r="K36" i="2"/>
  <c r="W31" i="2"/>
  <c r="I23" i="2"/>
  <c r="I36" i="2"/>
  <c r="E23" i="2"/>
  <c r="E36" i="2"/>
  <c r="Z83" i="2"/>
  <c r="S23" i="2"/>
  <c r="S78" i="2" s="1"/>
  <c r="S88" i="2" s="1"/>
  <c r="S90" i="2" s="1"/>
  <c r="S36" i="2"/>
  <c r="J23" i="2"/>
  <c r="J78" i="2" s="1"/>
  <c r="J88" i="2" s="1"/>
  <c r="J90" i="2" s="1"/>
  <c r="J36" i="2"/>
  <c r="T23" i="2"/>
  <c r="T78" i="2" s="1"/>
  <c r="T88" i="2" s="1"/>
  <c r="T90" i="2" s="1"/>
  <c r="T36" i="2"/>
  <c r="F23" i="2"/>
  <c r="Q23" i="2"/>
  <c r="Q36" i="2"/>
  <c r="Y18" i="2"/>
  <c r="X22" i="2"/>
  <c r="P23" i="2"/>
  <c r="P36" i="2"/>
  <c r="R23" i="2"/>
  <c r="R36" i="2"/>
  <c r="H36" i="2" l="1"/>
  <c r="L23" i="2"/>
  <c r="L37" i="2" s="1"/>
  <c r="W35" i="2"/>
  <c r="N37" i="2"/>
  <c r="Y34" i="2"/>
  <c r="X13" i="2"/>
  <c r="Y10" i="2"/>
  <c r="X12" i="2"/>
  <c r="U38" i="2"/>
  <c r="N25" i="2"/>
  <c r="N27" i="2" s="1"/>
  <c r="W16" i="2"/>
  <c r="W17" i="2" s="1"/>
  <c r="W23" i="2" s="1"/>
  <c r="Y15" i="2"/>
  <c r="X35" i="2"/>
  <c r="K25" i="2"/>
  <c r="K37" i="2"/>
  <c r="K78" i="2"/>
  <c r="K88" i="2" s="1"/>
  <c r="K90" i="2" s="1"/>
  <c r="F78" i="2"/>
  <c r="F88" i="2" s="1"/>
  <c r="F90" i="2" s="1"/>
  <c r="F37" i="2"/>
  <c r="E25" i="2"/>
  <c r="E37" i="2"/>
  <c r="E78" i="2"/>
  <c r="E88" i="2" s="1"/>
  <c r="E90" i="2" s="1"/>
  <c r="I25" i="2"/>
  <c r="I37" i="2"/>
  <c r="I78" i="2"/>
  <c r="I88" i="2" s="1"/>
  <c r="I90" i="2" s="1"/>
  <c r="H25" i="2"/>
  <c r="H37" i="2"/>
  <c r="H78" i="2"/>
  <c r="H88" i="2" s="1"/>
  <c r="H90" i="2" s="1"/>
  <c r="D25" i="2"/>
  <c r="D37" i="2"/>
  <c r="M27" i="2"/>
  <c r="M38" i="2"/>
  <c r="G25" i="2"/>
  <c r="G37" i="2"/>
  <c r="G78" i="2"/>
  <c r="G88" i="2" s="1"/>
  <c r="G90" i="2" s="1"/>
  <c r="AA83" i="2"/>
  <c r="W11" i="2"/>
  <c r="W32" i="2"/>
  <c r="X31" i="2"/>
  <c r="F25" i="2"/>
  <c r="F38" i="2" s="1"/>
  <c r="P25" i="2"/>
  <c r="P37" i="2"/>
  <c r="Q25" i="2"/>
  <c r="Q37" i="2"/>
  <c r="T25" i="2"/>
  <c r="T37" i="2"/>
  <c r="Z18" i="2"/>
  <c r="Y22" i="2"/>
  <c r="J25" i="2"/>
  <c r="J37" i="2"/>
  <c r="R25" i="2"/>
  <c r="R37" i="2"/>
  <c r="S25" i="2"/>
  <c r="S37" i="2"/>
  <c r="Z34" i="2"/>
  <c r="L78" i="2" l="1"/>
  <c r="L88" i="2" s="1"/>
  <c r="L90" i="2" s="1"/>
  <c r="L25" i="2"/>
  <c r="L38" i="2" s="1"/>
  <c r="N38" i="2"/>
  <c r="Y13" i="2"/>
  <c r="Z10" i="2"/>
  <c r="Y12" i="2"/>
  <c r="W36" i="2"/>
  <c r="Z15" i="2"/>
  <c r="Y35" i="2"/>
  <c r="K27" i="2"/>
  <c r="K38" i="2"/>
  <c r="H27" i="2"/>
  <c r="H38" i="2"/>
  <c r="W24" i="2"/>
  <c r="W80" i="2" s="1"/>
  <c r="W78" i="2"/>
  <c r="I27" i="2"/>
  <c r="I38" i="2"/>
  <c r="G27" i="2"/>
  <c r="G38" i="2"/>
  <c r="D27" i="2"/>
  <c r="D38" i="2"/>
  <c r="E27" i="2"/>
  <c r="E38" i="2"/>
  <c r="AB83" i="2"/>
  <c r="Y31" i="2"/>
  <c r="X33" i="2"/>
  <c r="X16" i="2"/>
  <c r="X17" i="2" s="1"/>
  <c r="X11" i="2"/>
  <c r="X32" i="2"/>
  <c r="J27" i="2"/>
  <c r="J38" i="2"/>
  <c r="S27" i="2"/>
  <c r="S38" i="2"/>
  <c r="AA18" i="2"/>
  <c r="Z22" i="2"/>
  <c r="T27" i="2"/>
  <c r="T38" i="2"/>
  <c r="R27" i="2"/>
  <c r="R38" i="2"/>
  <c r="F27" i="2"/>
  <c r="Q27" i="2"/>
  <c r="Q38" i="2"/>
  <c r="P27" i="2"/>
  <c r="P38" i="2"/>
  <c r="AA34" i="2"/>
  <c r="L27" i="2" l="1"/>
  <c r="AA10" i="2"/>
  <c r="Z12" i="2"/>
  <c r="W88" i="2"/>
  <c r="W90" i="2" s="1"/>
  <c r="AA15" i="2"/>
  <c r="Z35" i="2"/>
  <c r="W37" i="2"/>
  <c r="W25" i="2"/>
  <c r="W38" i="2" s="1"/>
  <c r="AC83" i="2"/>
  <c r="X36" i="2"/>
  <c r="X23" i="2"/>
  <c r="Z13" i="2"/>
  <c r="Z31" i="2"/>
  <c r="Y32" i="2"/>
  <c r="Y11" i="2"/>
  <c r="Y16" i="2"/>
  <c r="Y17" i="2" s="1"/>
  <c r="Y33" i="2"/>
  <c r="AB18" i="2"/>
  <c r="AA22" i="2"/>
  <c r="AB34" i="2"/>
  <c r="AB10" i="2" l="1"/>
  <c r="AA12" i="2"/>
  <c r="AB15" i="2"/>
  <c r="AA35" i="2"/>
  <c r="W27" i="2"/>
  <c r="X24" i="2"/>
  <c r="X37" i="2" s="1"/>
  <c r="X78" i="2"/>
  <c r="AD83" i="2"/>
  <c r="Z32" i="2"/>
  <c r="Z11" i="2"/>
  <c r="Z16" i="2"/>
  <c r="Z17" i="2" s="1"/>
  <c r="Z33" i="2"/>
  <c r="AA31" i="2"/>
  <c r="AA13" i="2"/>
  <c r="Y23" i="2"/>
  <c r="Y36" i="2"/>
  <c r="AC18" i="2"/>
  <c r="AB22" i="2"/>
  <c r="AC34" i="2"/>
  <c r="AB12" i="2" l="1"/>
  <c r="AB32" i="2" s="1"/>
  <c r="AC10" i="2"/>
  <c r="AC15" i="2"/>
  <c r="AB35" i="2"/>
  <c r="Y24" i="2"/>
  <c r="Y37" i="2" s="1"/>
  <c r="Y78" i="2"/>
  <c r="X25" i="2"/>
  <c r="X80" i="2"/>
  <c r="X88" i="2" s="1"/>
  <c r="X90" i="2" s="1"/>
  <c r="AE83" i="2"/>
  <c r="AB31" i="2"/>
  <c r="AB13" i="2"/>
  <c r="AA33" i="2"/>
  <c r="AA16" i="2"/>
  <c r="AA17" i="2" s="1"/>
  <c r="Z36" i="2"/>
  <c r="Z23" i="2"/>
  <c r="AA11" i="2"/>
  <c r="AA32" i="2"/>
  <c r="AD18" i="2"/>
  <c r="AC22" i="2"/>
  <c r="AD34" i="2"/>
  <c r="AC12" i="2" l="1"/>
  <c r="AC32" i="2" s="1"/>
  <c r="AD10" i="2"/>
  <c r="AD15" i="2"/>
  <c r="AC35" i="2"/>
  <c r="Z24" i="2"/>
  <c r="Z80" i="2" s="1"/>
  <c r="Z78" i="2"/>
  <c r="X38" i="2"/>
  <c r="X27" i="2"/>
  <c r="Y25" i="2"/>
  <c r="Y80" i="2"/>
  <c r="Y88" i="2" s="1"/>
  <c r="Y90" i="2" s="1"/>
  <c r="AF83" i="2"/>
  <c r="AB16" i="2"/>
  <c r="AB17" i="2" s="1"/>
  <c r="AB33" i="2"/>
  <c r="AC31" i="2"/>
  <c r="AC13" i="2"/>
  <c r="AA23" i="2"/>
  <c r="AA36" i="2"/>
  <c r="AB11" i="2"/>
  <c r="AE18" i="2"/>
  <c r="AD22" i="2"/>
  <c r="AF34" i="2"/>
  <c r="AE34" i="2"/>
  <c r="AE10" i="2" l="1"/>
  <c r="AD12" i="2"/>
  <c r="AD32" i="2" s="1"/>
  <c r="AE15" i="2"/>
  <c r="AD35" i="2"/>
  <c r="Z88" i="2"/>
  <c r="Z90" i="2" s="1"/>
  <c r="Z37" i="2"/>
  <c r="Z25" i="2"/>
  <c r="Z38" i="2" s="1"/>
  <c r="Y27" i="2"/>
  <c r="Y38" i="2"/>
  <c r="AA24" i="2"/>
  <c r="AA25" i="2" s="1"/>
  <c r="AA27" i="2" s="1"/>
  <c r="AA78" i="2"/>
  <c r="AD13" i="2"/>
  <c r="AD31" i="2"/>
  <c r="AC33" i="2"/>
  <c r="AC16" i="2"/>
  <c r="AC17" i="2" s="1"/>
  <c r="AB36" i="2"/>
  <c r="AB23" i="2"/>
  <c r="AC11" i="2"/>
  <c r="AF18" i="2"/>
  <c r="AF22" i="2" s="1"/>
  <c r="AE22" i="2"/>
  <c r="AF10" i="2" l="1"/>
  <c r="AF12" i="2" s="1"/>
  <c r="AE12" i="2"/>
  <c r="Z27" i="2"/>
  <c r="AF15" i="2"/>
  <c r="AF35" i="2" s="1"/>
  <c r="AE35" i="2"/>
  <c r="AA37" i="2"/>
  <c r="AA80" i="2"/>
  <c r="AA88" i="2" s="1"/>
  <c r="AA90" i="2" s="1"/>
  <c r="AB24" i="2"/>
  <c r="AB37" i="2" s="1"/>
  <c r="AB78" i="2"/>
  <c r="AD11" i="2"/>
  <c r="AE13" i="2"/>
  <c r="AE31" i="2"/>
  <c r="AD33" i="2"/>
  <c r="AD16" i="2"/>
  <c r="AD17" i="2" s="1"/>
  <c r="AC36" i="2"/>
  <c r="AC23" i="2"/>
  <c r="AA38" i="2"/>
  <c r="AC24" i="2" l="1"/>
  <c r="AC80" i="2" s="1"/>
  <c r="AC78" i="2"/>
  <c r="AB25" i="2"/>
  <c r="AB80" i="2"/>
  <c r="AB88" i="2" s="1"/>
  <c r="AB90" i="2" s="1"/>
  <c r="AD36" i="2"/>
  <c r="AD23" i="2"/>
  <c r="AD78" i="2" s="1"/>
  <c r="AE32" i="2"/>
  <c r="AE11" i="2"/>
  <c r="AE33" i="2"/>
  <c r="AE16" i="2"/>
  <c r="AE17" i="2" s="1"/>
  <c r="AF13" i="2"/>
  <c r="AF31" i="2"/>
  <c r="AC37" i="2" l="1"/>
  <c r="AC25" i="2"/>
  <c r="AC27" i="2" s="1"/>
  <c r="AC88" i="2"/>
  <c r="AC90" i="2" s="1"/>
  <c r="AB38" i="2"/>
  <c r="AB27" i="2"/>
  <c r="AF33" i="2"/>
  <c r="AF16" i="2"/>
  <c r="AF17" i="2" s="1"/>
  <c r="AD24" i="2"/>
  <c r="AE23" i="2"/>
  <c r="AE78" i="2" s="1"/>
  <c r="AE36" i="2"/>
  <c r="AF11" i="2"/>
  <c r="AF32" i="2"/>
  <c r="AC38" i="2" l="1"/>
  <c r="AD37" i="2"/>
  <c r="AD80" i="2"/>
  <c r="AD88" i="2" s="1"/>
  <c r="AD90" i="2" s="1"/>
  <c r="AD25" i="2"/>
  <c r="AD38" i="2" s="1"/>
  <c r="AE24" i="2"/>
  <c r="AF36" i="2"/>
  <c r="AF23" i="2"/>
  <c r="AE37" i="2" l="1"/>
  <c r="AE80" i="2"/>
  <c r="AE88" i="2" s="1"/>
  <c r="AE90" i="2" s="1"/>
  <c r="AF24" i="2"/>
  <c r="AF37" i="2" s="1"/>
  <c r="AF78" i="2"/>
  <c r="AD27" i="2"/>
  <c r="AE25" i="2"/>
  <c r="AE27" i="2" s="1"/>
  <c r="AF25" i="2" l="1"/>
  <c r="AF80" i="2"/>
  <c r="AF88" i="2" s="1"/>
  <c r="AF90" i="2" s="1"/>
  <c r="AG90" i="2" s="1"/>
  <c r="AH90" i="2" s="1"/>
  <c r="AI90" i="2" s="1"/>
  <c r="AJ90" i="2" s="1"/>
  <c r="AK90" i="2" s="1"/>
  <c r="AL90" i="2" s="1"/>
  <c r="AM90" i="2" s="1"/>
  <c r="AN90" i="2" s="1"/>
  <c r="AO90" i="2" s="1"/>
  <c r="AP90" i="2" s="1"/>
  <c r="AQ90" i="2" s="1"/>
  <c r="AR90" i="2" s="1"/>
  <c r="AS90" i="2" s="1"/>
  <c r="AT90" i="2" s="1"/>
  <c r="AU90" i="2" s="1"/>
  <c r="AV90" i="2" s="1"/>
  <c r="AW90" i="2" s="1"/>
  <c r="AX90" i="2" s="1"/>
  <c r="AY90" i="2" s="1"/>
  <c r="AZ90" i="2" s="1"/>
  <c r="BA90" i="2" s="1"/>
  <c r="BB90" i="2" s="1"/>
  <c r="BC90" i="2" s="1"/>
  <c r="BD90" i="2" s="1"/>
  <c r="BE90" i="2" s="1"/>
  <c r="BF90" i="2" s="1"/>
  <c r="BG90" i="2" s="1"/>
  <c r="BH90" i="2" s="1"/>
  <c r="BI90" i="2" s="1"/>
  <c r="BJ90" i="2" s="1"/>
  <c r="BK90" i="2" s="1"/>
  <c r="BL90" i="2" s="1"/>
  <c r="BM90" i="2" s="1"/>
  <c r="BN90" i="2" s="1"/>
  <c r="BO90" i="2" s="1"/>
  <c r="BP90" i="2" s="1"/>
  <c r="BQ90" i="2" s="1"/>
  <c r="BR90" i="2" s="1"/>
  <c r="BS90" i="2" s="1"/>
  <c r="BT90" i="2" s="1"/>
  <c r="BU90" i="2" s="1"/>
  <c r="BV90" i="2" s="1"/>
  <c r="BW90" i="2" s="1"/>
  <c r="BX90" i="2" s="1"/>
  <c r="BY90" i="2" s="1"/>
  <c r="BZ90" i="2" s="1"/>
  <c r="CA90" i="2" s="1"/>
  <c r="CB90" i="2" s="1"/>
  <c r="CC90" i="2" s="1"/>
  <c r="CD90" i="2" s="1"/>
  <c r="CE90" i="2" s="1"/>
  <c r="CF90" i="2" s="1"/>
  <c r="CG90" i="2" s="1"/>
  <c r="CH90" i="2" s="1"/>
  <c r="CI90" i="2" s="1"/>
  <c r="CJ90" i="2" s="1"/>
  <c r="CK90" i="2" s="1"/>
  <c r="CL90" i="2" s="1"/>
  <c r="CM90" i="2" s="1"/>
  <c r="CN90" i="2" s="1"/>
  <c r="CO90" i="2" s="1"/>
  <c r="CP90" i="2" s="1"/>
  <c r="CQ90" i="2" s="1"/>
  <c r="CR90" i="2" s="1"/>
  <c r="CS90" i="2" s="1"/>
  <c r="CT90" i="2" s="1"/>
  <c r="CU90" i="2" s="1"/>
  <c r="CV90" i="2" s="1"/>
  <c r="CW90" i="2" s="1"/>
  <c r="CX90" i="2" s="1"/>
  <c r="CY90" i="2" s="1"/>
  <c r="CZ90" i="2" s="1"/>
  <c r="DA90" i="2" s="1"/>
  <c r="DB90" i="2" s="1"/>
  <c r="DC90" i="2" s="1"/>
  <c r="DD90" i="2" s="1"/>
  <c r="DE90" i="2" s="1"/>
  <c r="DF90" i="2" s="1"/>
  <c r="DG90" i="2" s="1"/>
  <c r="DH90" i="2" s="1"/>
  <c r="DI90" i="2" s="1"/>
  <c r="DJ90" i="2" s="1"/>
  <c r="DK90" i="2" s="1"/>
  <c r="DL90" i="2" s="1"/>
  <c r="DM90" i="2" s="1"/>
  <c r="DN90" i="2" s="1"/>
  <c r="DO90" i="2" s="1"/>
  <c r="DP90" i="2" s="1"/>
  <c r="DQ90" i="2" s="1"/>
  <c r="DR90" i="2" s="1"/>
  <c r="DS90" i="2" s="1"/>
  <c r="DT90" i="2" s="1"/>
  <c r="DU90" i="2" s="1"/>
  <c r="DV90" i="2" s="1"/>
  <c r="DW90" i="2" s="1"/>
  <c r="DX90" i="2" s="1"/>
  <c r="DY90" i="2" s="1"/>
  <c r="DZ90" i="2" s="1"/>
  <c r="EA90" i="2" s="1"/>
  <c r="EB90" i="2" s="1"/>
  <c r="EC90" i="2" s="1"/>
  <c r="ED90" i="2" s="1"/>
  <c r="EE90" i="2" s="1"/>
  <c r="EF90" i="2" s="1"/>
  <c r="EG90" i="2" s="1"/>
  <c r="EH90" i="2" s="1"/>
  <c r="EI90" i="2" s="1"/>
  <c r="EJ90" i="2" s="1"/>
  <c r="AE38" i="2"/>
  <c r="AF38" i="2" l="1"/>
  <c r="AF27" i="2"/>
  <c r="AG25" i="2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V12" i="2"/>
  <c r="V32" i="2" s="1"/>
  <c r="V17" i="2" l="1"/>
  <c r="V23" i="2" s="1"/>
  <c r="V78" i="2" s="1"/>
  <c r="V88" i="2" s="1"/>
  <c r="V90" i="2" l="1"/>
  <c r="AI92" i="2" s="1"/>
  <c r="V36" i="2"/>
  <c r="V37" i="2"/>
  <c r="V25" i="2"/>
  <c r="V38" i="2" s="1"/>
  <c r="AI94" i="2" l="1"/>
  <c r="AI95" i="2" s="1"/>
  <c r="AI97" i="2" s="1"/>
  <c r="V27" i="2"/>
  <c r="AI35" i="2"/>
  <c r="AI37" i="2" s="1"/>
  <c r="AI38" i="2" s="1"/>
  <c r="AI4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0" authorId="0" shapeId="0" xr:uid="{777C2709-88CF-4872-8B59-CCCAE5ACE6D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(Q225) 175 mil guidance, (Q325) 165 mil</t>
        </r>
      </text>
    </comment>
  </commentList>
</comments>
</file>

<file path=xl/sharedStrings.xml><?xml version="1.0" encoding="utf-8"?>
<sst xmlns="http://schemas.openxmlformats.org/spreadsheetml/2006/main" count="123" uniqueCount="94">
  <si>
    <t>GAMB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</si>
  <si>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</si>
  <si>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</si>
  <si>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</si>
  <si>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</si>
  <si>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</si>
  <si>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</si>
  <si>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</si>
  <si>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</si>
  <si>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</si>
  <si>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</si>
  <si>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</si>
  <si>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</si>
  <si>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</si>
  <si>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</si>
  <si>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R&amp;D</t>
  </si>
  <si>
    <t>G&amp;A</t>
  </si>
  <si>
    <t>Operating profit</t>
  </si>
  <si>
    <t>Total operating expenses</t>
  </si>
  <si>
    <t>Debt expense</t>
  </si>
  <si>
    <t>Fair value expense</t>
  </si>
  <si>
    <t>Finance income</t>
  </si>
  <si>
    <t>Finance expense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</si>
  <si>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</si>
  <si>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</si>
  <si>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</si>
  <si>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</si>
  <si>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</si>
  <si>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</si>
  <si>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</si>
  <si>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</si>
  <si>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</si>
  <si>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</si>
  <si>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</si>
  <si>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</si>
  <si>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</si>
  <si>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</si>
  <si>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</si>
  <si>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</si>
  <si>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</si>
  <si>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</si>
  <si>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</si>
  <si>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</si>
  <si>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R&amp;D y/y</t>
  </si>
  <si>
    <t>G&amp;A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</si>
  <si>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</si>
  <si>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</si>
  <si>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</si>
  <si>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</si>
  <si>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</si>
  <si>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</si>
  <si>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</si>
  <si>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</si>
  <si>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</si>
  <si>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</si>
  <si>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</si>
  <si>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D&amp;A</t>
  </si>
  <si>
    <t>Credit loss</t>
  </si>
  <si>
    <t>SBC</t>
  </si>
  <si>
    <t>Contingent</t>
  </si>
  <si>
    <t>Other consideration</t>
  </si>
  <si>
    <t>T/R</t>
  </si>
  <si>
    <t>T/P</t>
  </si>
  <si>
    <t>CFFO</t>
  </si>
  <si>
    <t>PP&amp;E</t>
  </si>
  <si>
    <t>FCF</t>
  </si>
  <si>
    <t>ROU assets</t>
  </si>
  <si>
    <t>Intangibles</t>
  </si>
  <si>
    <t>ONCA</t>
  </si>
  <si>
    <t>D/T</t>
  </si>
  <si>
    <t>Non-current assets</t>
  </si>
  <si>
    <t>Current assets</t>
  </si>
  <si>
    <t>Total assets</t>
  </si>
  <si>
    <t>S/E</t>
  </si>
  <si>
    <t>Leases</t>
  </si>
  <si>
    <t>A/P</t>
  </si>
  <si>
    <t>Contingent consideration</t>
  </si>
  <si>
    <t>Derivatives</t>
  </si>
  <si>
    <t>Non-current liabilities</t>
  </si>
  <si>
    <t>Deferred income</t>
  </si>
  <si>
    <t>Deferred consideration</t>
  </si>
  <si>
    <t>Current liabilities</t>
  </si>
  <si>
    <t>L+S/E</t>
  </si>
  <si>
    <t>Total liabilities</t>
  </si>
  <si>
    <t>Marketing</t>
  </si>
  <si>
    <t>Subscription</t>
  </si>
  <si>
    <t>Advertising</t>
  </si>
  <si>
    <t>Data</t>
  </si>
  <si>
    <t>Total revenue</t>
  </si>
  <si>
    <t>Marketing y/y</t>
  </si>
  <si>
    <t>Data y/y</t>
  </si>
  <si>
    <t>Slightly undervalued</t>
  </si>
  <si>
    <t>Heavily undervalued</t>
  </si>
  <si>
    <t>Debt/equity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</si>
</sst>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0" fontId="1" fillId="0" borderId="0" xfId="0" applyFont="1" applyAlignment="1">
      <alignment horizontal="right"/>
    </xf>
    <xf numFmtId="0" fontId="6" fillId="0" borderId="0" xfId="0" applyFont="1"/>
    <xf numFmtId="3" fontId="6" fillId="0" borderId="0" xfId="0" applyNumberFormat="1" applyFont="1"/>
    <xf numFmtId="0" fontId="6" fillId="0" borderId="0" xfId="0" applyFont="1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 applyAlignment="1">
      <alignment horizontal="right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15240</xdr:colOff>
      <xdr:row>0</xdr:row>
      <xdr:rowOff>7620</xdr:rowOff>
    </xdr:from>
    <xdr:to>
      <xdr:col>21</xdr:col>
      <xdr:colOff>15240</xdr:colOff>
      <xdr:row>96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0B2AB9E-DD42-6415-C9E4-F63B187D93FE}"/>
            </a:ext>
          </a:extLst>
        </xdr:cNvPr>
        <xdr:cNvCxnSpPr/>
      </xdr:nvCxnSpPr>
      <xdr:spPr>
        <a:xfrm>
          <a:off x="1613154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15240</xdr:colOff>
      <xdr:row>0</xdr:row>
      <xdr:rowOff>7620</xdr:rowOff>
    </xdr:from>
    <xdr:to>
      <xdr:col>13</xdr:col>
      <xdr:colOff>15240</xdr:colOff>
      <xdr:row>95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1B35D1-099F-1556-358B-853D4DA27A87}"/>
            </a:ext>
          </a:extLst>
        </xdr:cNvPr>
        <xdr:cNvCxnSpPr/>
      </xdr:nvCxnSpPr>
      <xdr:spPr>
        <a:xfrm>
          <a:off x="11254740" y="7620"/>
          <a:ext cx="0" cy="15826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6E28-0C73-4DD0-9BF9-EE6D3C158FE9}">
  <dimension ref="B2:G9"/>
  <sheetViews>
    <sheetView workbookViewId="0">
      <selection activeCell="G4" sqref="G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7" t="s">
        <v>0</v>
      </c>
      <c r="C3" t="s">
        <v>1</v>
      </c>
      <c r="D3" s="1">
        <v>5.1100000000000003</v>
      </c>
      <c r="E3" s="4">
        <v>45974</v>
      </c>
      <c r="F3" s="4">
        <f ca="1">TODAY()</f>
        <v>46003</v>
      </c>
      <c r="G3" s="4">
        <v>46066</v>
      </c>
    </row>
    <row r="4" spans="2:7" x14ac:dyDescent="0.3">
      <c r="C4" t="s">
        <v>2</v>
      </c>
      <c r="D4" s="2">
        <f>35.6</f>
        <v>35.6</v>
      </c>
      <c r="E4" s="3" t="s">
        <v>38</v>
      </c>
    </row>
    <row r="5" spans="2:7" x14ac:dyDescent="0.3">
      <c r="C5" t="s">
        <v>3</v>
      </c>
      <c r="D5" s="2">
        <f>D3*D4</f>
        <v>181.91600000000003</v>
      </c>
    </row>
    <row r="6" spans="2:7" x14ac:dyDescent="0.3">
      <c r="C6" t="s">
        <v>4</v>
      </c>
      <c r="D6" s="2">
        <f>7.4</f>
        <v>7.4</v>
      </c>
      <c r="E6" s="3" t="s">
        <v>38</v>
      </c>
    </row>
    <row r="7" spans="2:7" x14ac:dyDescent="0.3">
      <c r="C7" t="s">
        <v>5</v>
      </c>
      <c r="D7" s="2">
        <f>10+73.1</f>
        <v>83.1</v>
      </c>
      <c r="E7" s="3" t="s">
        <v>38</v>
      </c>
    </row>
    <row r="8" spans="2:7" x14ac:dyDescent="0.3">
      <c r="C8" t="s">
        <v>6</v>
      </c>
      <c r="D8" s="2">
        <f>D6-D7</f>
        <v>-75.699999999999989</v>
      </c>
    </row>
    <row r="9" spans="2:7" x14ac:dyDescent="0.3">
      <c r="C9" t="s">
        <v>7</v>
      </c>
      <c r="D9" s="2">
        <f>D5-D8</f>
        <v>257.61599999999999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3BE1-3816-4557-867E-C0ACDC26617E}">
  <dimension ref="B2:EJ98"/>
  <sheetViews>
    <sheetView tabSelected="1" zoomScaleNormal="100" workbookViewId="0">
      <pane xSplit="2" ySplit="2" topLeftCell="X81" activePane="bottomRight" state="frozen"/>
      <selection pane="topRight" activeCell="C1" sqref="C1"/>
      <selection pane="bottomLeft" activeCell="A3" sqref="A3"/>
      <selection pane="bottomRight" activeCell="AI96" sqref="AI96"/>
    </sheetView>
  </sheetViews>
  <sheetFormatPr defaultRowHeight="14.4" x14ac:dyDescent="0.3"/>
  <cols>
    <col min="2" max="2" width="21.6640625" bestFit="1" customWidth="1"/>
    <col min="34" max="34" width="12" bestFit="1" customWidth="1"/>
    <col min="35" max="35" width="17.5546875" bestFit="1" customWidth="1"/>
  </cols>
  <sheetData>
    <row r="2" spans="2:32" x14ac:dyDescent="0.3">
      <c r="C2" s="5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39</v>
      </c>
      <c r="O2" s="5"/>
      <c r="P2">
        <v>2019</v>
      </c>
      <c r="Q2">
        <v>2020</v>
      </c>
      <c r="R2">
        <v>2021</v>
      </c>
      <c r="S2">
        <v>2022</v>
      </c>
      <c r="T2">
        <v>2023</v>
      </c>
      <c r="U2">
        <v>2024</v>
      </c>
      <c r="V2">
        <v>2025</v>
      </c>
      <c r="W2">
        <v>2026</v>
      </c>
      <c r="X2">
        <v>2027</v>
      </c>
      <c r="Y2">
        <v>2028</v>
      </c>
      <c r="Z2">
        <v>2029</v>
      </c>
      <c r="AA2">
        <v>2030</v>
      </c>
      <c r="AB2">
        <v>2031</v>
      </c>
      <c r="AC2">
        <v>2032</v>
      </c>
      <c r="AD2">
        <v>2033</v>
      </c>
      <c r="AE2">
        <v>2034</v>
      </c>
      <c r="AF2">
        <v>2035</v>
      </c>
    </row>
    <row r="3" spans="2:32" x14ac:dyDescent="0.3">
      <c r="B3" t="s">
        <v>84</v>
      </c>
      <c r="C3" s="5"/>
      <c r="D3" s="5"/>
      <c r="E3" s="5"/>
      <c r="F3" s="5"/>
      <c r="G3" s="15">
        <v>27.3</v>
      </c>
      <c r="H3" s="15">
        <v>28.6</v>
      </c>
      <c r="I3" s="15">
        <v>29.8</v>
      </c>
      <c r="J3" s="5"/>
      <c r="K3" s="15">
        <v>30.7</v>
      </c>
      <c r="L3" s="15">
        <v>29.6</v>
      </c>
      <c r="M3" s="15">
        <v>29.8</v>
      </c>
      <c r="N3" s="5"/>
      <c r="O3" s="5"/>
      <c r="V3">
        <f>U3*1.11</f>
        <v>0</v>
      </c>
    </row>
    <row r="4" spans="2:32" x14ac:dyDescent="0.3">
      <c r="B4" t="s">
        <v>87</v>
      </c>
      <c r="C4" s="5"/>
      <c r="D4" s="5"/>
      <c r="E4" s="5"/>
      <c r="F4" s="5"/>
      <c r="G4" s="15">
        <v>2</v>
      </c>
      <c r="H4" s="15">
        <v>1.9</v>
      </c>
      <c r="I4" s="15">
        <v>2.2999999999999998</v>
      </c>
      <c r="J4" s="5"/>
      <c r="K4" s="15">
        <v>9.9</v>
      </c>
      <c r="L4" s="15">
        <v>10</v>
      </c>
      <c r="M4" s="15">
        <v>9.1999999999999993</v>
      </c>
      <c r="N4" s="5"/>
      <c r="O4" s="5"/>
      <c r="V4">
        <f>U4*1.16</f>
        <v>0</v>
      </c>
    </row>
    <row r="5" spans="2:32" s="7" customFormat="1" x14ac:dyDescent="0.3">
      <c r="B5" s="7" t="s">
        <v>88</v>
      </c>
      <c r="C5" s="11"/>
      <c r="D5" s="11"/>
      <c r="E5" s="11"/>
      <c r="F5" s="11"/>
      <c r="G5" s="16">
        <f>SUM(G3:G4)</f>
        <v>29.3</v>
      </c>
      <c r="H5" s="16">
        <f>SUM(H3:H4)</f>
        <v>30.5</v>
      </c>
      <c r="I5" s="16">
        <f>SUM(I3:I4)</f>
        <v>32.1</v>
      </c>
      <c r="J5" s="16"/>
      <c r="K5" s="16">
        <f>SUM(K3:K4)</f>
        <v>40.6</v>
      </c>
      <c r="L5" s="16">
        <f>SUM(L3:L4)</f>
        <v>39.6</v>
      </c>
      <c r="M5" s="16">
        <f>SUM(M3:M4)</f>
        <v>39</v>
      </c>
      <c r="N5" s="11"/>
      <c r="O5" s="11"/>
      <c r="V5" s="16">
        <f>SUM(V3:V4)</f>
        <v>0</v>
      </c>
    </row>
    <row r="6" spans="2:32" x14ac:dyDescent="0.3"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32" x14ac:dyDescent="0.3">
      <c r="B7" t="s">
        <v>84</v>
      </c>
      <c r="C7" s="5"/>
      <c r="D7" s="5"/>
      <c r="E7" s="5"/>
      <c r="F7" s="15">
        <v>27</v>
      </c>
      <c r="G7" s="15">
        <v>23.4</v>
      </c>
      <c r="H7" s="15">
        <v>24.2</v>
      </c>
      <c r="I7" s="15">
        <v>25.1</v>
      </c>
      <c r="J7" s="15">
        <v>28.4</v>
      </c>
      <c r="K7" s="15">
        <v>25.7</v>
      </c>
      <c r="L7" s="15">
        <v>24.9</v>
      </c>
      <c r="M7" s="15">
        <v>24</v>
      </c>
      <c r="N7" s="5"/>
      <c r="O7" s="5"/>
    </row>
    <row r="8" spans="2:32" x14ac:dyDescent="0.3">
      <c r="B8" t="s">
        <v>85</v>
      </c>
      <c r="C8" s="5"/>
      <c r="D8" s="5"/>
      <c r="E8" s="5"/>
      <c r="F8" s="15">
        <v>2</v>
      </c>
      <c r="G8" s="15">
        <v>2</v>
      </c>
      <c r="H8" s="15">
        <v>1.9</v>
      </c>
      <c r="I8" s="15">
        <v>2.2999999999999998</v>
      </c>
      <c r="J8" s="15">
        <v>2.2000000000000002</v>
      </c>
      <c r="K8" s="15">
        <v>9.9</v>
      </c>
      <c r="L8" s="15">
        <v>10</v>
      </c>
      <c r="M8" s="15">
        <v>9.1999999999999993</v>
      </c>
      <c r="N8" s="5"/>
      <c r="O8" s="5"/>
    </row>
    <row r="9" spans="2:32" x14ac:dyDescent="0.3">
      <c r="B9" t="s">
        <v>86</v>
      </c>
      <c r="C9" s="5"/>
      <c r="D9" s="5"/>
      <c r="E9" s="5"/>
      <c r="F9" s="15">
        <v>3.5</v>
      </c>
      <c r="G9" s="15">
        <v>3.9</v>
      </c>
      <c r="H9" s="15">
        <v>4.4000000000000004</v>
      </c>
      <c r="I9" s="15">
        <v>4.8</v>
      </c>
      <c r="J9" s="15">
        <v>4.7</v>
      </c>
      <c r="K9" s="15">
        <v>5</v>
      </c>
      <c r="L9" s="15">
        <v>4.5999999999999996</v>
      </c>
      <c r="M9" s="15">
        <v>5.8</v>
      </c>
      <c r="N9" s="5"/>
      <c r="O9" s="5"/>
    </row>
    <row r="10" spans="2:32" s="7" customFormat="1" x14ac:dyDescent="0.3">
      <c r="B10" s="7" t="s">
        <v>11</v>
      </c>
      <c r="D10" s="8">
        <v>26</v>
      </c>
      <c r="E10" s="8">
        <v>23.5</v>
      </c>
      <c r="F10" s="8">
        <v>32.5</v>
      </c>
      <c r="G10" s="8">
        <v>29.2</v>
      </c>
      <c r="H10" s="8">
        <f>SUM(H7:H9)</f>
        <v>30.5</v>
      </c>
      <c r="I10" s="8">
        <f>SUM(I7:I9)</f>
        <v>32.200000000000003</v>
      </c>
      <c r="J10" s="8">
        <v>35.299999999999997</v>
      </c>
      <c r="K10" s="8">
        <v>40.6</v>
      </c>
      <c r="L10" s="8">
        <f t="shared" ref="L10:M10" si="0">SUM(L7:L9)</f>
        <v>39.5</v>
      </c>
      <c r="M10" s="8">
        <f t="shared" si="0"/>
        <v>39</v>
      </c>
      <c r="N10" s="8">
        <f>J10*1.25</f>
        <v>44.125</v>
      </c>
      <c r="P10" s="8">
        <v>19.3</v>
      </c>
      <c r="Q10" s="8">
        <v>28</v>
      </c>
      <c r="R10" s="8">
        <v>42.3</v>
      </c>
      <c r="S10" s="8">
        <v>76.5</v>
      </c>
      <c r="T10" s="8">
        <v>108.7</v>
      </c>
      <c r="U10" s="8">
        <v>127.2</v>
      </c>
      <c r="V10" s="8">
        <f>SUM(K10:N10)</f>
        <v>163.22499999999999</v>
      </c>
      <c r="W10" s="8">
        <f>V10*1.12</f>
        <v>182.81200000000001</v>
      </c>
      <c r="X10" s="8">
        <f>W10*1.08</f>
        <v>197.43696000000003</v>
      </c>
      <c r="Y10" s="8">
        <f>X10*1.06</f>
        <v>209.28317760000004</v>
      </c>
      <c r="Z10" s="8">
        <f>Y10*1.05</f>
        <v>219.74733648000006</v>
      </c>
      <c r="AA10" s="8">
        <f>Z10*1.04</f>
        <v>228.53722993920007</v>
      </c>
      <c r="AB10" s="8">
        <f>AA10*1.03</f>
        <v>235.39334683737607</v>
      </c>
      <c r="AC10" s="8">
        <f>AB10*1.03</f>
        <v>242.45514724249736</v>
      </c>
      <c r="AD10" s="8">
        <f t="shared" ref="AD10:AF10" si="1">AC10*1.03</f>
        <v>249.7288016597723</v>
      </c>
      <c r="AE10" s="8">
        <f t="shared" si="1"/>
        <v>257.22066570956548</v>
      </c>
      <c r="AF10" s="8">
        <f t="shared" si="1"/>
        <v>264.93728568085243</v>
      </c>
    </row>
    <row r="11" spans="2:32" x14ac:dyDescent="0.3">
      <c r="B11" t="s">
        <v>12</v>
      </c>
      <c r="D11" s="2">
        <v>0.9</v>
      </c>
      <c r="E11" s="2">
        <v>2.1</v>
      </c>
      <c r="F11" s="2">
        <v>5.0999999999999996</v>
      </c>
      <c r="G11" s="2">
        <v>2.2000000000000002</v>
      </c>
      <c r="H11" s="2">
        <v>1.4</v>
      </c>
      <c r="I11" s="2">
        <v>1.7</v>
      </c>
      <c r="J11" s="2">
        <v>2.2000000000000002</v>
      </c>
      <c r="K11" s="2">
        <v>2.2000000000000002</v>
      </c>
      <c r="L11" s="2">
        <v>2.7</v>
      </c>
      <c r="M11" s="2">
        <v>3.4</v>
      </c>
      <c r="N11" s="2">
        <f>N10-N12</f>
        <v>4.4125000000000014</v>
      </c>
      <c r="P11" s="2"/>
      <c r="Q11" s="2"/>
      <c r="R11" s="2"/>
      <c r="S11" s="2">
        <v>3</v>
      </c>
      <c r="T11" s="2">
        <v>9.1</v>
      </c>
      <c r="U11" s="2">
        <v>7.5</v>
      </c>
      <c r="V11" s="2">
        <f>SUM(K11:N11)</f>
        <v>12.712500000000002</v>
      </c>
      <c r="W11" s="2">
        <f>W10-W12</f>
        <v>18.281199999999984</v>
      </c>
      <c r="X11" s="2">
        <f t="shared" ref="X11:AF11" si="2">X10-X12</f>
        <v>19.743696</v>
      </c>
      <c r="Y11" s="2">
        <f t="shared" si="2"/>
        <v>20.928317759999999</v>
      </c>
      <c r="Z11" s="2">
        <f t="shared" si="2"/>
        <v>21.974733648000011</v>
      </c>
      <c r="AA11" s="2">
        <f t="shared" si="2"/>
        <v>22.853722993920002</v>
      </c>
      <c r="AB11" s="2">
        <f t="shared" si="2"/>
        <v>23.539334683737593</v>
      </c>
      <c r="AC11" s="2">
        <f t="shared" si="2"/>
        <v>24.245514724249745</v>
      </c>
      <c r="AD11" s="2">
        <f t="shared" si="2"/>
        <v>24.972880165977216</v>
      </c>
      <c r="AE11" s="2">
        <f t="shared" si="2"/>
        <v>25.722066570956542</v>
      </c>
      <c r="AF11" s="2">
        <f t="shared" si="2"/>
        <v>26.493728568085231</v>
      </c>
    </row>
    <row r="12" spans="2:32" s="7" customFormat="1" x14ac:dyDescent="0.3">
      <c r="B12" s="7" t="s">
        <v>13</v>
      </c>
      <c r="D12" s="8">
        <f t="shared" ref="D12:M12" si="3">D10-D11</f>
        <v>25.1</v>
      </c>
      <c r="E12" s="8">
        <f t="shared" si="3"/>
        <v>21.4</v>
      </c>
      <c r="F12" s="8">
        <f t="shared" si="3"/>
        <v>27.4</v>
      </c>
      <c r="G12" s="8">
        <f t="shared" si="3"/>
        <v>27</v>
      </c>
      <c r="H12" s="8">
        <f t="shared" si="3"/>
        <v>29.1</v>
      </c>
      <c r="I12" s="8">
        <f t="shared" si="3"/>
        <v>30.500000000000004</v>
      </c>
      <c r="J12" s="8">
        <f t="shared" si="3"/>
        <v>33.099999999999994</v>
      </c>
      <c r="K12" s="8">
        <f t="shared" si="3"/>
        <v>38.4</v>
      </c>
      <c r="L12" s="8">
        <f t="shared" si="3"/>
        <v>36.799999999999997</v>
      </c>
      <c r="M12" s="8">
        <f t="shared" si="3"/>
        <v>35.6</v>
      </c>
      <c r="N12" s="8">
        <f>N10*0.9</f>
        <v>39.712499999999999</v>
      </c>
      <c r="P12" s="8">
        <f t="shared" ref="P12:V12" si="4">P10-P11</f>
        <v>19.3</v>
      </c>
      <c r="Q12" s="8">
        <f t="shared" si="4"/>
        <v>28</v>
      </c>
      <c r="R12" s="8">
        <f t="shared" si="4"/>
        <v>42.3</v>
      </c>
      <c r="S12" s="8">
        <f t="shared" si="4"/>
        <v>73.5</v>
      </c>
      <c r="T12" s="8">
        <f t="shared" si="4"/>
        <v>99.600000000000009</v>
      </c>
      <c r="U12" s="8">
        <f t="shared" si="4"/>
        <v>119.7</v>
      </c>
      <c r="V12" s="8">
        <f t="shared" si="4"/>
        <v>150.51249999999999</v>
      </c>
      <c r="W12" s="8">
        <f>W10*0.9</f>
        <v>164.53080000000003</v>
      </c>
      <c r="X12" s="8">
        <f t="shared" ref="X12:AF12" si="5">X10*0.9</f>
        <v>177.69326400000003</v>
      </c>
      <c r="Y12" s="8">
        <f t="shared" si="5"/>
        <v>188.35485984000005</v>
      </c>
      <c r="Z12" s="8">
        <f t="shared" si="5"/>
        <v>197.77260283200005</v>
      </c>
      <c r="AA12" s="8">
        <f t="shared" si="5"/>
        <v>205.68350694528007</v>
      </c>
      <c r="AB12" s="8">
        <f t="shared" si="5"/>
        <v>211.85401215363848</v>
      </c>
      <c r="AC12" s="8">
        <f t="shared" si="5"/>
        <v>218.20963251824762</v>
      </c>
      <c r="AD12" s="8">
        <f t="shared" si="5"/>
        <v>224.75592149379509</v>
      </c>
      <c r="AE12" s="8">
        <f t="shared" si="5"/>
        <v>231.49859913860894</v>
      </c>
      <c r="AF12" s="8">
        <f t="shared" si="5"/>
        <v>238.44355711276719</v>
      </c>
    </row>
    <row r="13" spans="2:32" x14ac:dyDescent="0.3">
      <c r="B13" t="s">
        <v>14</v>
      </c>
      <c r="D13" s="2">
        <v>8.6999999999999993</v>
      </c>
      <c r="E13" s="2">
        <v>8.6</v>
      </c>
      <c r="F13" s="2">
        <v>9.6999999999999993</v>
      </c>
      <c r="G13" s="2">
        <v>9.6</v>
      </c>
      <c r="H13" s="2">
        <v>10.7</v>
      </c>
      <c r="I13" s="2">
        <v>10.8</v>
      </c>
      <c r="J13" s="2">
        <v>10.9</v>
      </c>
      <c r="K13" s="2">
        <v>15.2</v>
      </c>
      <c r="L13" s="2">
        <v>15.4</v>
      </c>
      <c r="M13" s="2">
        <v>15.9</v>
      </c>
      <c r="N13" s="2">
        <v>15</v>
      </c>
      <c r="P13" s="2">
        <v>10.9</v>
      </c>
      <c r="Q13" s="2">
        <v>8.1</v>
      </c>
      <c r="R13" s="2">
        <v>14.1</v>
      </c>
      <c r="S13" s="2">
        <v>33.700000000000003</v>
      </c>
      <c r="T13" s="2">
        <v>35.299999999999997</v>
      </c>
      <c r="U13" s="2">
        <v>41.9</v>
      </c>
      <c r="V13" s="2">
        <f t="shared" ref="V13:V15" si="6">SUM(K13:N13)</f>
        <v>61.5</v>
      </c>
      <c r="W13" s="2">
        <f>W10*0.35</f>
        <v>63.984200000000001</v>
      </c>
      <c r="X13" s="2">
        <f>X10*0.33</f>
        <v>65.154196800000008</v>
      </c>
      <c r="Y13" s="2">
        <f>Y10*0.32</f>
        <v>66.970616832000019</v>
      </c>
      <c r="Z13" s="2">
        <f t="shared" ref="Z13:AF13" si="7">Z10*0.31</f>
        <v>68.121674308800024</v>
      </c>
      <c r="AA13" s="2">
        <f t="shared" si="7"/>
        <v>70.846541281152028</v>
      </c>
      <c r="AB13" s="2">
        <f t="shared" si="7"/>
        <v>72.971937519586575</v>
      </c>
      <c r="AC13" s="2">
        <f t="shared" si="7"/>
        <v>75.161095645174186</v>
      </c>
      <c r="AD13" s="2">
        <f t="shared" si="7"/>
        <v>77.415928514529412</v>
      </c>
      <c r="AE13" s="2">
        <f t="shared" si="7"/>
        <v>79.738406369965304</v>
      </c>
      <c r="AF13" s="2">
        <f t="shared" si="7"/>
        <v>82.130558561064248</v>
      </c>
    </row>
    <row r="14" spans="2:32" x14ac:dyDescent="0.3">
      <c r="B14" t="s">
        <v>15</v>
      </c>
      <c r="D14" s="2">
        <v>2.5</v>
      </c>
      <c r="E14" s="2">
        <v>2.5</v>
      </c>
      <c r="F14" s="2">
        <v>3.1</v>
      </c>
      <c r="G14" s="2">
        <v>3.2</v>
      </c>
      <c r="H14" s="2">
        <v>3.1</v>
      </c>
      <c r="I14" s="2">
        <v>3.6</v>
      </c>
      <c r="J14" s="2">
        <v>3.9</v>
      </c>
      <c r="K14" s="2">
        <v>5.2</v>
      </c>
      <c r="L14" s="2">
        <v>6.1</v>
      </c>
      <c r="M14" s="2">
        <v>6</v>
      </c>
      <c r="N14" s="2">
        <v>6.8</v>
      </c>
      <c r="P14" s="2">
        <v>2.5</v>
      </c>
      <c r="Q14" s="2">
        <v>2.5</v>
      </c>
      <c r="R14" s="2">
        <v>3.9</v>
      </c>
      <c r="S14" s="2">
        <v>6.8</v>
      </c>
      <c r="T14" s="2">
        <v>10.3</v>
      </c>
      <c r="U14" s="2">
        <v>13.9</v>
      </c>
      <c r="V14" s="2">
        <f t="shared" si="6"/>
        <v>24.1</v>
      </c>
      <c r="W14" s="2">
        <f>V14*1.3</f>
        <v>31.330000000000002</v>
      </c>
      <c r="X14" s="2">
        <f>W14*1.2</f>
        <v>37.596000000000004</v>
      </c>
      <c r="Y14" s="2">
        <f>X14*1.1</f>
        <v>41.35560000000001</v>
      </c>
      <c r="Z14" s="2">
        <f>Y14*1.05</f>
        <v>43.423380000000009</v>
      </c>
      <c r="AA14" s="2">
        <f>Z14*1.04</f>
        <v>45.160315200000014</v>
      </c>
      <c r="AB14" s="2">
        <f>AA14*1.03</f>
        <v>46.515124656000012</v>
      </c>
      <c r="AC14" s="2">
        <f>AB14*1.02</f>
        <v>47.445427149120015</v>
      </c>
      <c r="AD14" s="2">
        <f t="shared" ref="AD14:AF14" si="8">AC14*1.02</f>
        <v>48.394335692102416</v>
      </c>
      <c r="AE14" s="2">
        <f t="shared" si="8"/>
        <v>49.362222405944465</v>
      </c>
      <c r="AF14" s="2">
        <f t="shared" si="8"/>
        <v>50.349466854063358</v>
      </c>
    </row>
    <row r="15" spans="2:32" x14ac:dyDescent="0.3">
      <c r="B15" t="s">
        <v>16</v>
      </c>
      <c r="D15" s="2">
        <v>6.9</v>
      </c>
      <c r="E15" s="2">
        <v>4.8</v>
      </c>
      <c r="F15" s="2">
        <v>7</v>
      </c>
      <c r="G15" s="2">
        <v>6.3</v>
      </c>
      <c r="H15" s="2">
        <v>6.2</v>
      </c>
      <c r="I15" s="2">
        <v>6</v>
      </c>
      <c r="J15" s="2">
        <v>9</v>
      </c>
      <c r="K15" s="2">
        <v>7.7</v>
      </c>
      <c r="L15" s="2">
        <v>8.4</v>
      </c>
      <c r="M15" s="2">
        <v>7.7</v>
      </c>
      <c r="N15" s="2">
        <f>J15*1.15</f>
        <v>10.35</v>
      </c>
      <c r="P15" s="2">
        <v>4.2</v>
      </c>
      <c r="Q15" s="2">
        <v>6</v>
      </c>
      <c r="R15" s="2">
        <v>13</v>
      </c>
      <c r="S15" s="2">
        <v>19.5</v>
      </c>
      <c r="T15" s="2">
        <v>24.3</v>
      </c>
      <c r="U15" s="2">
        <v>27.6</v>
      </c>
      <c r="V15" s="2">
        <f t="shared" si="6"/>
        <v>34.15</v>
      </c>
      <c r="W15" s="2">
        <f>V15*1.15</f>
        <v>39.272499999999994</v>
      </c>
      <c r="X15" s="2">
        <f>W15*1.08</f>
        <v>42.414299999999997</v>
      </c>
      <c r="Y15" s="2">
        <f>X15*1.05</f>
        <v>44.535015000000001</v>
      </c>
      <c r="Z15" s="2">
        <f>Y15*1.03</f>
        <v>45.871065450000003</v>
      </c>
      <c r="AA15" s="2">
        <f t="shared" ref="AA15:AF15" si="9">Z15*1.02</f>
        <v>46.788486759000001</v>
      </c>
      <c r="AB15" s="2">
        <f t="shared" si="9"/>
        <v>47.724256494180004</v>
      </c>
      <c r="AC15" s="2">
        <f t="shared" si="9"/>
        <v>48.678741624063605</v>
      </c>
      <c r="AD15" s="2">
        <f t="shared" si="9"/>
        <v>49.652316456544881</v>
      </c>
      <c r="AE15" s="2">
        <f t="shared" si="9"/>
        <v>50.645362785675779</v>
      </c>
      <c r="AF15" s="2">
        <f t="shared" si="9"/>
        <v>51.658270041389294</v>
      </c>
    </row>
    <row r="16" spans="2:32" x14ac:dyDescent="0.3">
      <c r="B16" t="s">
        <v>18</v>
      </c>
      <c r="D16" s="2">
        <f t="shared" ref="D16:L16" si="10">SUM(D13:D15)</f>
        <v>18.100000000000001</v>
      </c>
      <c r="E16" s="2">
        <f t="shared" si="10"/>
        <v>15.899999999999999</v>
      </c>
      <c r="F16" s="2">
        <f t="shared" si="10"/>
        <v>19.799999999999997</v>
      </c>
      <c r="G16" s="2">
        <f t="shared" si="10"/>
        <v>19.100000000000001</v>
      </c>
      <c r="H16" s="2">
        <f t="shared" si="10"/>
        <v>20</v>
      </c>
      <c r="I16" s="2">
        <f t="shared" si="10"/>
        <v>20.399999999999999</v>
      </c>
      <c r="J16" s="2">
        <f t="shared" si="10"/>
        <v>23.8</v>
      </c>
      <c r="K16" s="2">
        <f t="shared" si="10"/>
        <v>28.099999999999998</v>
      </c>
      <c r="L16" s="2">
        <f t="shared" si="10"/>
        <v>29.9</v>
      </c>
      <c r="M16" s="2">
        <f t="shared" ref="M16" si="11">SUM(M13:M15)</f>
        <v>29.599999999999998</v>
      </c>
      <c r="N16" s="2">
        <f t="shared" ref="N16" si="12">SUM(N13:N15)</f>
        <v>32.15</v>
      </c>
      <c r="P16" s="2">
        <f t="shared" ref="P16:U16" si="13">SUM(P13:P15)</f>
        <v>17.600000000000001</v>
      </c>
      <c r="Q16" s="2">
        <f t="shared" si="13"/>
        <v>16.600000000000001</v>
      </c>
      <c r="R16" s="2">
        <f t="shared" si="13"/>
        <v>31</v>
      </c>
      <c r="S16" s="2">
        <f t="shared" si="13"/>
        <v>60</v>
      </c>
      <c r="T16" s="2">
        <f t="shared" si="13"/>
        <v>69.899999999999991</v>
      </c>
      <c r="U16" s="2">
        <f t="shared" si="13"/>
        <v>83.4</v>
      </c>
      <c r="V16" s="2">
        <f t="shared" ref="V16:AF16" si="14">SUM(V13:V15)</f>
        <v>119.75</v>
      </c>
      <c r="W16" s="2">
        <f t="shared" si="14"/>
        <v>134.58670000000001</v>
      </c>
      <c r="X16" s="2">
        <f t="shared" si="14"/>
        <v>145.16449679999999</v>
      </c>
      <c r="Y16" s="2">
        <f t="shared" si="14"/>
        <v>152.86123183200004</v>
      </c>
      <c r="Z16" s="2">
        <f t="shared" si="14"/>
        <v>157.41611975880005</v>
      </c>
      <c r="AA16" s="2">
        <f t="shared" si="14"/>
        <v>162.79534324015205</v>
      </c>
      <c r="AB16" s="2">
        <f t="shared" si="14"/>
        <v>167.2113186697666</v>
      </c>
      <c r="AC16" s="2">
        <f t="shared" si="14"/>
        <v>171.2852644183578</v>
      </c>
      <c r="AD16" s="2">
        <f t="shared" si="14"/>
        <v>175.46258066317671</v>
      </c>
      <c r="AE16" s="2">
        <f t="shared" si="14"/>
        <v>179.74599156158556</v>
      </c>
      <c r="AF16" s="2">
        <f t="shared" si="14"/>
        <v>184.13829545651691</v>
      </c>
    </row>
    <row r="17" spans="2:138" s="7" customFormat="1" x14ac:dyDescent="0.3">
      <c r="B17" s="7" t="s">
        <v>17</v>
      </c>
      <c r="D17" s="8">
        <f t="shared" ref="D17:L17" si="15">D12-D16</f>
        <v>7</v>
      </c>
      <c r="E17" s="8">
        <f t="shared" si="15"/>
        <v>5.5</v>
      </c>
      <c r="F17" s="8">
        <f t="shared" si="15"/>
        <v>7.6000000000000014</v>
      </c>
      <c r="G17" s="8">
        <f t="shared" si="15"/>
        <v>7.8999999999999986</v>
      </c>
      <c r="H17" s="8">
        <f t="shared" si="15"/>
        <v>9.1000000000000014</v>
      </c>
      <c r="I17" s="8">
        <f t="shared" si="15"/>
        <v>10.100000000000005</v>
      </c>
      <c r="J17" s="8">
        <f t="shared" si="15"/>
        <v>9.2999999999999936</v>
      </c>
      <c r="K17" s="8">
        <f t="shared" si="15"/>
        <v>10.3</v>
      </c>
      <c r="L17" s="8">
        <f t="shared" si="15"/>
        <v>6.8999999999999986</v>
      </c>
      <c r="M17" s="8">
        <f t="shared" ref="M17" si="16">M12-M16</f>
        <v>6.0000000000000036</v>
      </c>
      <c r="N17" s="8">
        <f t="shared" ref="N17" si="17">N12-N16</f>
        <v>7.5625</v>
      </c>
      <c r="P17" s="8">
        <f t="shared" ref="P17:U17" si="18">P12-P16</f>
        <v>1.6999999999999993</v>
      </c>
      <c r="Q17" s="8">
        <f t="shared" si="18"/>
        <v>11.399999999999999</v>
      </c>
      <c r="R17" s="8">
        <f t="shared" si="18"/>
        <v>11.299999999999997</v>
      </c>
      <c r="S17" s="8">
        <f t="shared" si="18"/>
        <v>13.5</v>
      </c>
      <c r="T17" s="8">
        <f t="shared" si="18"/>
        <v>29.700000000000017</v>
      </c>
      <c r="U17" s="8">
        <f t="shared" si="18"/>
        <v>36.299999999999997</v>
      </c>
      <c r="V17" s="8">
        <f t="shared" ref="V17:AF17" si="19">V12-V16</f>
        <v>30.762499999999989</v>
      </c>
      <c r="W17" s="8">
        <f t="shared" si="19"/>
        <v>29.94410000000002</v>
      </c>
      <c r="X17" s="8">
        <f t="shared" si="19"/>
        <v>32.528767200000033</v>
      </c>
      <c r="Y17" s="8">
        <f t="shared" si="19"/>
        <v>35.493628008000002</v>
      </c>
      <c r="Z17" s="8">
        <f t="shared" si="19"/>
        <v>40.356483073199996</v>
      </c>
      <c r="AA17" s="8">
        <f t="shared" si="19"/>
        <v>42.888163705128022</v>
      </c>
      <c r="AB17" s="8">
        <f t="shared" si="19"/>
        <v>44.642693483871881</v>
      </c>
      <c r="AC17" s="8">
        <f t="shared" si="19"/>
        <v>46.924368099889818</v>
      </c>
      <c r="AD17" s="8">
        <f t="shared" si="19"/>
        <v>49.293340830618376</v>
      </c>
      <c r="AE17" s="8">
        <f t="shared" si="19"/>
        <v>51.752607577023383</v>
      </c>
      <c r="AF17" s="8">
        <f t="shared" si="19"/>
        <v>54.305261656250281</v>
      </c>
    </row>
    <row r="18" spans="2:138" x14ac:dyDescent="0.3">
      <c r="B18" t="s">
        <v>19</v>
      </c>
      <c r="D18" s="2">
        <v>0.1</v>
      </c>
      <c r="E18" s="2">
        <v>0.6</v>
      </c>
      <c r="F18" s="2">
        <v>-0.5</v>
      </c>
      <c r="G18" s="2">
        <v>0</v>
      </c>
      <c r="H18" s="2">
        <v>0.7</v>
      </c>
      <c r="I18" s="2">
        <v>0.4</v>
      </c>
      <c r="J18" s="2">
        <v>-0.6</v>
      </c>
      <c r="K18" s="2">
        <v>0</v>
      </c>
      <c r="L18" s="2">
        <v>0.1</v>
      </c>
      <c r="M18" s="2">
        <v>-0.1</v>
      </c>
      <c r="N18" s="2">
        <v>0</v>
      </c>
      <c r="P18" s="2">
        <v>0.3</v>
      </c>
      <c r="Q18" s="2">
        <v>0.3</v>
      </c>
      <c r="R18" s="2">
        <v>-0.1</v>
      </c>
      <c r="S18" s="2">
        <v>0.8</v>
      </c>
      <c r="T18" s="2">
        <v>0.9</v>
      </c>
      <c r="U18" s="2">
        <v>0.5</v>
      </c>
      <c r="V18" s="2">
        <f t="shared" ref="V18:V21" si="20">SUM(K18:N18)</f>
        <v>0</v>
      </c>
      <c r="W18" s="2">
        <f t="shared" ref="W18:AF18" si="21">V18*1.05</f>
        <v>0</v>
      </c>
      <c r="X18" s="2">
        <f t="shared" si="21"/>
        <v>0</v>
      </c>
      <c r="Y18" s="2">
        <f t="shared" si="21"/>
        <v>0</v>
      </c>
      <c r="Z18" s="2">
        <f t="shared" si="21"/>
        <v>0</v>
      </c>
      <c r="AA18" s="2">
        <f t="shared" si="21"/>
        <v>0</v>
      </c>
      <c r="AB18" s="2">
        <f t="shared" si="21"/>
        <v>0</v>
      </c>
      <c r="AC18" s="2">
        <f t="shared" si="21"/>
        <v>0</v>
      </c>
      <c r="AD18" s="2">
        <f t="shared" si="21"/>
        <v>0</v>
      </c>
      <c r="AE18" s="2">
        <f t="shared" si="21"/>
        <v>0</v>
      </c>
      <c r="AF18" s="2">
        <f t="shared" si="21"/>
        <v>0</v>
      </c>
    </row>
    <row r="19" spans="2:138" x14ac:dyDescent="0.3">
      <c r="B19" t="s">
        <v>20</v>
      </c>
      <c r="D19" s="2">
        <v>6.1</v>
      </c>
      <c r="E19" s="2">
        <v>0</v>
      </c>
      <c r="F19" s="2">
        <v>0</v>
      </c>
      <c r="G19" s="2">
        <v>-0.1</v>
      </c>
      <c r="H19" s="2">
        <v>0</v>
      </c>
      <c r="I19" s="2">
        <v>0</v>
      </c>
      <c r="J19" s="2">
        <v>0</v>
      </c>
      <c r="K19" s="2">
        <v>0.3</v>
      </c>
      <c r="L19" s="2">
        <v>21.2</v>
      </c>
      <c r="M19" s="2">
        <v>7.5</v>
      </c>
      <c r="N19" s="2">
        <v>0</v>
      </c>
      <c r="P19" s="2">
        <v>0.1</v>
      </c>
      <c r="Q19" s="2">
        <v>-1.4</v>
      </c>
      <c r="R19" s="2">
        <v>0</v>
      </c>
      <c r="S19" s="2">
        <v>10.9</v>
      </c>
      <c r="T19" s="2">
        <v>6.9</v>
      </c>
      <c r="U19" s="2">
        <v>0</v>
      </c>
      <c r="V19" s="2">
        <f t="shared" si="20"/>
        <v>29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</row>
    <row r="20" spans="2:138" x14ac:dyDescent="0.3">
      <c r="B20" t="s">
        <v>21</v>
      </c>
      <c r="D20" s="2">
        <v>-0.6</v>
      </c>
      <c r="E20" s="2">
        <v>-1</v>
      </c>
      <c r="F20" s="2">
        <v>-0.6</v>
      </c>
      <c r="G20" s="2">
        <v>-0.9</v>
      </c>
      <c r="H20" s="2">
        <v>-0.2</v>
      </c>
      <c r="I20" s="2">
        <v>-0.6</v>
      </c>
      <c r="J20" s="2">
        <v>-0.1</v>
      </c>
      <c r="K20" s="2">
        <v>-3.9</v>
      </c>
      <c r="L20" s="2">
        <v>-4.4000000000000004</v>
      </c>
      <c r="M20" s="2">
        <v>-0.5</v>
      </c>
      <c r="N20" s="2">
        <v>-4</v>
      </c>
      <c r="P20" s="2">
        <v>-0.1</v>
      </c>
      <c r="Q20" s="2">
        <v>-0.3</v>
      </c>
      <c r="R20" s="2">
        <v>-2.6</v>
      </c>
      <c r="S20" s="2">
        <v>-2.2999999999999998</v>
      </c>
      <c r="T20" s="2">
        <v>-0.6</v>
      </c>
      <c r="U20" s="2">
        <v>-1.6</v>
      </c>
      <c r="V20" s="2">
        <f t="shared" si="20"/>
        <v>-12.8</v>
      </c>
      <c r="W20" s="2">
        <v>-10</v>
      </c>
      <c r="X20" s="2">
        <f t="shared" ref="X20:AF20" si="22">W20*1.03</f>
        <v>-10.3</v>
      </c>
      <c r="Y20" s="2">
        <f t="shared" si="22"/>
        <v>-10.609000000000002</v>
      </c>
      <c r="Z20" s="2">
        <f t="shared" si="22"/>
        <v>-10.927270000000002</v>
      </c>
      <c r="AA20" s="2">
        <f t="shared" si="22"/>
        <v>-11.255088100000002</v>
      </c>
      <c r="AB20" s="2">
        <f t="shared" si="22"/>
        <v>-11.592740743000002</v>
      </c>
      <c r="AC20" s="2">
        <f t="shared" si="22"/>
        <v>-11.940522965290002</v>
      </c>
      <c r="AD20" s="2">
        <f t="shared" si="22"/>
        <v>-12.298738654248703</v>
      </c>
      <c r="AE20" s="2">
        <f t="shared" si="22"/>
        <v>-12.667700813876165</v>
      </c>
      <c r="AF20" s="2">
        <f t="shared" si="22"/>
        <v>-13.047731838292449</v>
      </c>
    </row>
    <row r="21" spans="2:138" x14ac:dyDescent="0.3">
      <c r="B21" t="s">
        <v>22</v>
      </c>
      <c r="D21" s="2">
        <v>0.4</v>
      </c>
      <c r="E21" s="2">
        <v>0.4</v>
      </c>
      <c r="F21" s="2">
        <v>2.6</v>
      </c>
      <c r="G21" s="2">
        <v>0.5</v>
      </c>
      <c r="H21" s="2">
        <v>0.9</v>
      </c>
      <c r="I21" s="2">
        <v>1.1000000000000001</v>
      </c>
      <c r="J21" s="2">
        <v>0.9</v>
      </c>
      <c r="K21" s="2">
        <v>3</v>
      </c>
      <c r="L21" s="2">
        <v>2.2999999999999998</v>
      </c>
      <c r="M21" s="2">
        <v>2.5</v>
      </c>
      <c r="N21" s="2">
        <v>2</v>
      </c>
      <c r="P21" s="2">
        <v>2.5</v>
      </c>
      <c r="Q21" s="2">
        <v>2.1</v>
      </c>
      <c r="R21" s="2">
        <v>1.8</v>
      </c>
      <c r="S21" s="2">
        <v>1.3</v>
      </c>
      <c r="T21" s="2">
        <v>2.2999999999999998</v>
      </c>
      <c r="U21" s="2">
        <v>3.1</v>
      </c>
      <c r="V21" s="2">
        <f t="shared" si="20"/>
        <v>9.8000000000000007</v>
      </c>
      <c r="W21" s="2">
        <f t="shared" ref="W21:AF21" si="23">V21*1.03</f>
        <v>10.094000000000001</v>
      </c>
      <c r="X21" s="2">
        <f t="shared" si="23"/>
        <v>10.396820000000002</v>
      </c>
      <c r="Y21" s="2">
        <f t="shared" si="23"/>
        <v>10.708724600000002</v>
      </c>
      <c r="Z21" s="2">
        <f t="shared" si="23"/>
        <v>11.029986338000002</v>
      </c>
      <c r="AA21" s="2">
        <f t="shared" si="23"/>
        <v>11.360885928140002</v>
      </c>
      <c r="AB21" s="2">
        <f t="shared" si="23"/>
        <v>11.701712505984203</v>
      </c>
      <c r="AC21" s="2">
        <f t="shared" si="23"/>
        <v>12.052763881163729</v>
      </c>
      <c r="AD21" s="2">
        <f t="shared" si="23"/>
        <v>12.414346797598641</v>
      </c>
      <c r="AE21" s="2">
        <f t="shared" si="23"/>
        <v>12.786777201526601</v>
      </c>
      <c r="AF21" s="2">
        <f t="shared" si="23"/>
        <v>13.170380517572399</v>
      </c>
    </row>
    <row r="22" spans="2:138" x14ac:dyDescent="0.3">
      <c r="B22" t="s">
        <v>23</v>
      </c>
      <c r="D22" s="2">
        <f t="shared" ref="D22:L22" si="24">SUM(D18:D21)</f>
        <v>6</v>
      </c>
      <c r="E22" s="2">
        <f t="shared" si="24"/>
        <v>0</v>
      </c>
      <c r="F22" s="2">
        <f t="shared" si="24"/>
        <v>1.5</v>
      </c>
      <c r="G22" s="2">
        <f t="shared" si="24"/>
        <v>-0.5</v>
      </c>
      <c r="H22" s="2">
        <f t="shared" si="24"/>
        <v>1.4</v>
      </c>
      <c r="I22" s="2">
        <f t="shared" si="24"/>
        <v>0.90000000000000013</v>
      </c>
      <c r="J22" s="2">
        <f t="shared" si="24"/>
        <v>0.20000000000000007</v>
      </c>
      <c r="K22" s="2">
        <f t="shared" si="24"/>
        <v>-0.60000000000000009</v>
      </c>
      <c r="L22" s="2">
        <f t="shared" si="24"/>
        <v>19.2</v>
      </c>
      <c r="M22" s="2">
        <f t="shared" ref="M22" si="25">SUM(M18:M21)</f>
        <v>9.4</v>
      </c>
      <c r="N22" s="2">
        <f t="shared" ref="N22" si="26">SUM(N18:N21)</f>
        <v>-2</v>
      </c>
      <c r="P22" s="2">
        <f t="shared" ref="P22:U22" si="27">SUM(P18:P21)</f>
        <v>2.8</v>
      </c>
      <c r="Q22" s="2">
        <f t="shared" si="27"/>
        <v>0.70000000000000018</v>
      </c>
      <c r="R22" s="2">
        <f t="shared" si="27"/>
        <v>-0.90000000000000013</v>
      </c>
      <c r="S22" s="2">
        <f t="shared" si="27"/>
        <v>10.700000000000003</v>
      </c>
      <c r="T22" s="2">
        <f t="shared" si="27"/>
        <v>9.5</v>
      </c>
      <c r="U22" s="2">
        <f t="shared" si="27"/>
        <v>2</v>
      </c>
      <c r="V22" s="2">
        <f t="shared" ref="V22:AF22" si="28">SUM(V18:V21)</f>
        <v>26</v>
      </c>
      <c r="W22" s="2">
        <f t="shared" si="28"/>
        <v>9.4000000000001194E-2</v>
      </c>
      <c r="X22" s="2">
        <f t="shared" si="28"/>
        <v>9.6820000000001016E-2</v>
      </c>
      <c r="Y22" s="2">
        <f t="shared" si="28"/>
        <v>9.9724600000000052E-2</v>
      </c>
      <c r="Z22" s="2">
        <f t="shared" si="28"/>
        <v>0.10271633800000046</v>
      </c>
      <c r="AA22" s="2">
        <f t="shared" si="28"/>
        <v>0.10579782814000005</v>
      </c>
      <c r="AB22" s="2">
        <f t="shared" si="28"/>
        <v>0.10897176298420064</v>
      </c>
      <c r="AC22" s="2">
        <f t="shared" si="28"/>
        <v>0.11224091587372698</v>
      </c>
      <c r="AD22" s="2">
        <f t="shared" si="28"/>
        <v>0.11560814334993808</v>
      </c>
      <c r="AE22" s="2">
        <f t="shared" si="28"/>
        <v>0.11907638765043593</v>
      </c>
      <c r="AF22" s="2">
        <f t="shared" si="28"/>
        <v>0.12264867927994949</v>
      </c>
    </row>
    <row r="23" spans="2:138" s="7" customFormat="1" x14ac:dyDescent="0.3">
      <c r="B23" s="7" t="s">
        <v>24</v>
      </c>
      <c r="D23" s="8">
        <f t="shared" ref="D23:L23" si="29">D17-D22</f>
        <v>1</v>
      </c>
      <c r="E23" s="8">
        <f t="shared" si="29"/>
        <v>5.5</v>
      </c>
      <c r="F23" s="8">
        <f t="shared" si="29"/>
        <v>6.1000000000000014</v>
      </c>
      <c r="G23" s="8">
        <f t="shared" si="29"/>
        <v>8.3999999999999986</v>
      </c>
      <c r="H23" s="8">
        <f t="shared" si="29"/>
        <v>7.7000000000000011</v>
      </c>
      <c r="I23" s="8">
        <f t="shared" si="29"/>
        <v>9.2000000000000046</v>
      </c>
      <c r="J23" s="8">
        <f t="shared" si="29"/>
        <v>9.0999999999999943</v>
      </c>
      <c r="K23" s="8">
        <f t="shared" si="29"/>
        <v>10.9</v>
      </c>
      <c r="L23" s="8">
        <f t="shared" si="29"/>
        <v>-12.3</v>
      </c>
      <c r="M23" s="8">
        <f t="shared" ref="M23" si="30">M17-M22</f>
        <v>-3.3999999999999968</v>
      </c>
      <c r="N23" s="8">
        <f t="shared" ref="N23" si="31">N17-N22</f>
        <v>9.5625</v>
      </c>
      <c r="P23" s="8">
        <f t="shared" ref="P23:U23" si="32">P17-P22</f>
        <v>-1.1000000000000005</v>
      </c>
      <c r="Q23" s="8">
        <f t="shared" si="32"/>
        <v>10.7</v>
      </c>
      <c r="R23" s="8">
        <f t="shared" si="32"/>
        <v>12.199999999999998</v>
      </c>
      <c r="S23" s="8">
        <f t="shared" si="32"/>
        <v>2.7999999999999972</v>
      </c>
      <c r="T23" s="8">
        <f t="shared" si="32"/>
        <v>20.200000000000017</v>
      </c>
      <c r="U23" s="8">
        <f t="shared" si="32"/>
        <v>34.299999999999997</v>
      </c>
      <c r="V23" s="8">
        <f t="shared" ref="V23:AF23" si="33">V17-V22</f>
        <v>4.7624999999999886</v>
      </c>
      <c r="W23" s="8">
        <f t="shared" si="33"/>
        <v>29.850100000000019</v>
      </c>
      <c r="X23" s="8">
        <f t="shared" si="33"/>
        <v>32.431947200000032</v>
      </c>
      <c r="Y23" s="8">
        <f t="shared" si="33"/>
        <v>35.393903408</v>
      </c>
      <c r="Z23" s="8">
        <f t="shared" si="33"/>
        <v>40.253766735199996</v>
      </c>
      <c r="AA23" s="8">
        <f t="shared" si="33"/>
        <v>42.782365876988024</v>
      </c>
      <c r="AB23" s="8">
        <f t="shared" si="33"/>
        <v>44.533721720887684</v>
      </c>
      <c r="AC23" s="8">
        <f t="shared" si="33"/>
        <v>46.812127184016092</v>
      </c>
      <c r="AD23" s="8">
        <f t="shared" si="33"/>
        <v>49.177732687268438</v>
      </c>
      <c r="AE23" s="8">
        <f t="shared" si="33"/>
        <v>51.633531189372945</v>
      </c>
      <c r="AF23" s="8">
        <f t="shared" si="33"/>
        <v>54.182612976970333</v>
      </c>
    </row>
    <row r="24" spans="2:138" x14ac:dyDescent="0.3">
      <c r="B24" t="s">
        <v>25</v>
      </c>
      <c r="D24" s="2">
        <v>0.6</v>
      </c>
      <c r="E24" s="2">
        <v>0.3</v>
      </c>
      <c r="F24" s="2">
        <v>-0.2</v>
      </c>
      <c r="G24" s="2">
        <v>1.1000000000000001</v>
      </c>
      <c r="H24" s="2">
        <v>0.7</v>
      </c>
      <c r="I24" s="2">
        <v>0.6</v>
      </c>
      <c r="J24" s="2">
        <v>1.1000000000000001</v>
      </c>
      <c r="K24" s="2">
        <v>-0.3</v>
      </c>
      <c r="L24" s="2">
        <v>1.2</v>
      </c>
      <c r="M24" s="2">
        <v>0.4</v>
      </c>
      <c r="N24" s="2">
        <v>0</v>
      </c>
      <c r="P24" s="2">
        <v>0.9</v>
      </c>
      <c r="Q24" s="2">
        <v>-4.3</v>
      </c>
      <c r="R24" s="2">
        <v>-0.3</v>
      </c>
      <c r="S24" s="2">
        <v>0.5</v>
      </c>
      <c r="T24" s="2">
        <v>1.9</v>
      </c>
      <c r="U24" s="2">
        <v>3.5</v>
      </c>
      <c r="V24" s="2">
        <f>SUM(K24:N24)</f>
        <v>1.2999999999999998</v>
      </c>
      <c r="W24" s="2">
        <f t="shared" ref="W24:AF24" si="34">W23*0.15</f>
        <v>4.477515000000003</v>
      </c>
      <c r="X24" s="2">
        <f t="shared" si="34"/>
        <v>4.8647920800000044</v>
      </c>
      <c r="Y24" s="2">
        <f t="shared" si="34"/>
        <v>5.3090855112000002</v>
      </c>
      <c r="Z24" s="2">
        <f t="shared" si="34"/>
        <v>6.0380650102799995</v>
      </c>
      <c r="AA24" s="2">
        <f t="shared" si="34"/>
        <v>6.4173548815482038</v>
      </c>
      <c r="AB24" s="2">
        <f t="shared" si="34"/>
        <v>6.680058258133152</v>
      </c>
      <c r="AC24" s="2">
        <f t="shared" si="34"/>
        <v>7.0218190776024132</v>
      </c>
      <c r="AD24" s="2">
        <f t="shared" si="34"/>
        <v>7.3766599030902658</v>
      </c>
      <c r="AE24" s="2">
        <f t="shared" si="34"/>
        <v>7.7450296784059418</v>
      </c>
      <c r="AF24" s="2">
        <f t="shared" si="34"/>
        <v>8.1273919465455489</v>
      </c>
    </row>
    <row r="25" spans="2:138" s="7" customFormat="1" x14ac:dyDescent="0.3">
      <c r="B25" s="7" t="s">
        <v>26</v>
      </c>
      <c r="D25" s="8">
        <f t="shared" ref="D25:L25" si="35">D23-D24</f>
        <v>0.4</v>
      </c>
      <c r="E25" s="8">
        <f t="shared" si="35"/>
        <v>5.2</v>
      </c>
      <c r="F25" s="8">
        <f t="shared" si="35"/>
        <v>6.3000000000000016</v>
      </c>
      <c r="G25" s="8">
        <f t="shared" si="35"/>
        <v>7.2999999999999989</v>
      </c>
      <c r="H25" s="8">
        <f t="shared" si="35"/>
        <v>7.0000000000000009</v>
      </c>
      <c r="I25" s="8">
        <f t="shared" si="35"/>
        <v>8.600000000000005</v>
      </c>
      <c r="J25" s="8">
        <f t="shared" si="35"/>
        <v>7.9999999999999947</v>
      </c>
      <c r="K25" s="8">
        <f t="shared" si="35"/>
        <v>11.200000000000001</v>
      </c>
      <c r="L25" s="8">
        <f t="shared" si="35"/>
        <v>-13.5</v>
      </c>
      <c r="M25" s="8">
        <f t="shared" ref="M25" si="36">M23-M24</f>
        <v>-3.7999999999999967</v>
      </c>
      <c r="N25" s="8">
        <f t="shared" ref="N25" si="37">N23-N24</f>
        <v>9.5625</v>
      </c>
      <c r="P25" s="8">
        <f t="shared" ref="P25:U25" si="38">P23-P24</f>
        <v>-2.0000000000000004</v>
      </c>
      <c r="Q25" s="8">
        <f t="shared" si="38"/>
        <v>15</v>
      </c>
      <c r="R25" s="8">
        <f t="shared" si="38"/>
        <v>12.499999999999998</v>
      </c>
      <c r="S25" s="8">
        <f t="shared" si="38"/>
        <v>2.2999999999999972</v>
      </c>
      <c r="T25" s="8">
        <f t="shared" si="38"/>
        <v>18.300000000000018</v>
      </c>
      <c r="U25" s="8">
        <f t="shared" si="38"/>
        <v>30.799999999999997</v>
      </c>
      <c r="V25" s="8">
        <f t="shared" ref="V25" si="39">V23-V24</f>
        <v>3.4624999999999888</v>
      </c>
      <c r="W25" s="8">
        <f t="shared" ref="W25" si="40">W23-W24</f>
        <v>25.372585000000015</v>
      </c>
      <c r="X25" s="8">
        <f t="shared" ref="X25" si="41">X23-X24</f>
        <v>27.567155120000027</v>
      </c>
      <c r="Y25" s="8">
        <f t="shared" ref="Y25" si="42">Y23-Y24</f>
        <v>30.084817896800001</v>
      </c>
      <c r="Z25" s="8">
        <f t="shared" ref="Z25" si="43">Z23-Z24</f>
        <v>34.215701724919995</v>
      </c>
      <c r="AA25" s="8">
        <f t="shared" ref="AA25" si="44">AA23-AA24</f>
        <v>36.365010995439818</v>
      </c>
      <c r="AB25" s="8">
        <f t="shared" ref="AB25" si="45">AB23-AB24</f>
        <v>37.853663462754533</v>
      </c>
      <c r="AC25" s="8">
        <f t="shared" ref="AC25" si="46">AC23-AC24</f>
        <v>39.790308106413676</v>
      </c>
      <c r="AD25" s="8">
        <f t="shared" ref="AD25" si="47">AD23-AD24</f>
        <v>41.801072784178174</v>
      </c>
      <c r="AE25" s="8">
        <f t="shared" ref="AE25" si="48">AE23-AE24</f>
        <v>43.888501510967004</v>
      </c>
      <c r="AF25" s="8">
        <f t="shared" ref="AF25" si="49">AF23-AF24</f>
        <v>46.055221030424782</v>
      </c>
      <c r="AG25" s="7">
        <f t="shared" ref="AG25:BL25" si="50">AF25*(1+$AI$33)</f>
        <v>45.594668820120532</v>
      </c>
      <c r="AH25" s="7">
        <f t="shared" si="50"/>
        <v>45.138722131919323</v>
      </c>
      <c r="AI25" s="7">
        <f t="shared" si="50"/>
        <v>44.687334910600129</v>
      </c>
      <c r="AJ25" s="7">
        <f t="shared" si="50"/>
        <v>44.240461561494129</v>
      </c>
      <c r="AK25" s="7">
        <f t="shared" si="50"/>
        <v>43.798056945879189</v>
      </c>
      <c r="AL25" s="7">
        <f t="shared" si="50"/>
        <v>43.360076376420395</v>
      </c>
      <c r="AM25" s="7">
        <f t="shared" si="50"/>
        <v>42.926475612656191</v>
      </c>
      <c r="AN25" s="7">
        <f t="shared" si="50"/>
        <v>42.497210856529627</v>
      </c>
      <c r="AO25" s="7">
        <f t="shared" si="50"/>
        <v>42.072238747964327</v>
      </c>
      <c r="AP25" s="7">
        <f t="shared" si="50"/>
        <v>41.651516360484685</v>
      </c>
      <c r="AQ25" s="7">
        <f t="shared" si="50"/>
        <v>41.235001196879836</v>
      </c>
      <c r="AR25" s="7">
        <f t="shared" si="50"/>
        <v>40.822651184911038</v>
      </c>
      <c r="AS25" s="7">
        <f t="shared" si="50"/>
        <v>40.41442467306193</v>
      </c>
      <c r="AT25" s="7">
        <f t="shared" si="50"/>
        <v>40.010280426331313</v>
      </c>
      <c r="AU25" s="7">
        <f t="shared" si="50"/>
        <v>39.610177622068001</v>
      </c>
      <c r="AV25" s="7">
        <f t="shared" si="50"/>
        <v>39.214075845847319</v>
      </c>
      <c r="AW25" s="7">
        <f t="shared" si="50"/>
        <v>38.821935087388844</v>
      </c>
      <c r="AX25" s="7">
        <f t="shared" si="50"/>
        <v>38.433715736514955</v>
      </c>
      <c r="AY25" s="7">
        <f t="shared" si="50"/>
        <v>38.049378579149803</v>
      </c>
      <c r="AZ25" s="7">
        <f t="shared" si="50"/>
        <v>37.668884793358302</v>
      </c>
      <c r="BA25" s="7">
        <f t="shared" si="50"/>
        <v>37.292195945424716</v>
      </c>
      <c r="BB25" s="7">
        <f t="shared" si="50"/>
        <v>36.91927398597047</v>
      </c>
      <c r="BC25" s="7">
        <f t="shared" si="50"/>
        <v>36.550081246110764</v>
      </c>
      <c r="BD25" s="7">
        <f t="shared" si="50"/>
        <v>36.184580433649657</v>
      </c>
      <c r="BE25" s="7">
        <f t="shared" si="50"/>
        <v>35.82273462931316</v>
      </c>
      <c r="BF25" s="7">
        <f t="shared" si="50"/>
        <v>35.464507283020026</v>
      </c>
      <c r="BG25" s="7">
        <f t="shared" si="50"/>
        <v>35.109862210189824</v>
      </c>
      <c r="BH25" s="7">
        <f t="shared" si="50"/>
        <v>34.758763588087923</v>
      </c>
      <c r="BI25" s="7">
        <f t="shared" si="50"/>
        <v>34.411175952207046</v>
      </c>
      <c r="BJ25" s="7">
        <f t="shared" si="50"/>
        <v>34.067064192684974</v>
      </c>
      <c r="BK25" s="7">
        <f t="shared" si="50"/>
        <v>33.726393550758125</v>
      </c>
      <c r="BL25" s="7">
        <f t="shared" si="50"/>
        <v>33.389129615250546</v>
      </c>
      <c r="BM25" s="7">
        <f t="shared" ref="BM25:CR25" si="51">BL25*(1+$AI$33)</f>
        <v>33.055238319098038</v>
      </c>
      <c r="BN25" s="7">
        <f t="shared" si="51"/>
        <v>32.724685935907054</v>
      </c>
      <c r="BO25" s="7">
        <f t="shared" si="51"/>
        <v>32.397439076547982</v>
      </c>
      <c r="BP25" s="7">
        <f t="shared" si="51"/>
        <v>32.073464685782504</v>
      </c>
      <c r="BQ25" s="7">
        <f t="shared" si="51"/>
        <v>31.752730038924678</v>
      </c>
      <c r="BR25" s="7">
        <f t="shared" si="51"/>
        <v>31.43520273853543</v>
      </c>
      <c r="BS25" s="7">
        <f t="shared" si="51"/>
        <v>31.120850711150077</v>
      </c>
      <c r="BT25" s="7">
        <f t="shared" si="51"/>
        <v>30.809642204038575</v>
      </c>
      <c r="BU25" s="7">
        <f t="shared" si="51"/>
        <v>30.501545781998189</v>
      </c>
      <c r="BV25" s="7">
        <f t="shared" si="51"/>
        <v>30.196530324178205</v>
      </c>
      <c r="BW25" s="7">
        <f t="shared" si="51"/>
        <v>29.894565020936422</v>
      </c>
      <c r="BX25" s="7">
        <f t="shared" si="51"/>
        <v>29.595619370727057</v>
      </c>
      <c r="BY25" s="7">
        <f t="shared" si="51"/>
        <v>29.299663177019788</v>
      </c>
      <c r="BZ25" s="7">
        <f t="shared" si="51"/>
        <v>29.00666654524959</v>
      </c>
      <c r="CA25" s="7">
        <f t="shared" si="51"/>
        <v>28.716599879797094</v>
      </c>
      <c r="CB25" s="7">
        <f t="shared" si="51"/>
        <v>28.429433880999124</v>
      </c>
      <c r="CC25" s="7">
        <f t="shared" si="51"/>
        <v>28.145139542189131</v>
      </c>
      <c r="CD25" s="7">
        <f t="shared" si="51"/>
        <v>27.863688146767238</v>
      </c>
      <c r="CE25" s="7">
        <f t="shared" si="51"/>
        <v>27.585051265299565</v>
      </c>
      <c r="CF25" s="7">
        <f t="shared" si="51"/>
        <v>27.309200752646568</v>
      </c>
      <c r="CG25" s="7">
        <f t="shared" si="51"/>
        <v>27.036108745120103</v>
      </c>
      <c r="CH25" s="7">
        <f t="shared" si="51"/>
        <v>26.7657476576689</v>
      </c>
      <c r="CI25" s="7">
        <f t="shared" si="51"/>
        <v>26.498090181092209</v>
      </c>
      <c r="CJ25" s="7">
        <f t="shared" si="51"/>
        <v>26.233109279281287</v>
      </c>
      <c r="CK25" s="7">
        <f t="shared" si="51"/>
        <v>25.970778186488474</v>
      </c>
      <c r="CL25" s="7">
        <f t="shared" si="51"/>
        <v>25.711070404623587</v>
      </c>
      <c r="CM25" s="7">
        <f t="shared" si="51"/>
        <v>25.45395970057735</v>
      </c>
      <c r="CN25" s="7">
        <f t="shared" si="51"/>
        <v>25.199420103571576</v>
      </c>
      <c r="CO25" s="7">
        <f t="shared" si="51"/>
        <v>24.947425902535858</v>
      </c>
      <c r="CP25" s="7">
        <f t="shared" si="51"/>
        <v>24.6979516435105</v>
      </c>
      <c r="CQ25" s="7">
        <f t="shared" si="51"/>
        <v>24.450972127075396</v>
      </c>
      <c r="CR25" s="7">
        <f t="shared" si="51"/>
        <v>24.20646240580464</v>
      </c>
      <c r="CS25" s="7">
        <f t="shared" ref="CS25:DX25" si="52">CR25*(1+$AI$33)</f>
        <v>23.964397781746595</v>
      </c>
      <c r="CT25" s="7">
        <f t="shared" si="52"/>
        <v>23.724753803929129</v>
      </c>
      <c r="CU25" s="7">
        <f t="shared" si="52"/>
        <v>23.487506265889838</v>
      </c>
      <c r="CV25" s="7">
        <f t="shared" si="52"/>
        <v>23.252631203230941</v>
      </c>
      <c r="CW25" s="7">
        <f t="shared" si="52"/>
        <v>23.020104891198631</v>
      </c>
      <c r="CX25" s="7">
        <f t="shared" si="52"/>
        <v>22.789903842286645</v>
      </c>
      <c r="CY25" s="7">
        <f t="shared" si="52"/>
        <v>22.562004803863779</v>
      </c>
      <c r="CZ25" s="7">
        <f t="shared" si="52"/>
        <v>22.33638475582514</v>
      </c>
      <c r="DA25" s="7">
        <f t="shared" si="52"/>
        <v>22.11302090826689</v>
      </c>
      <c r="DB25" s="7">
        <f t="shared" si="52"/>
        <v>21.89189069918422</v>
      </c>
      <c r="DC25" s="7">
        <f t="shared" si="52"/>
        <v>21.672971792192378</v>
      </c>
      <c r="DD25" s="7">
        <f t="shared" si="52"/>
        <v>21.456242074270452</v>
      </c>
      <c r="DE25" s="7">
        <f t="shared" si="52"/>
        <v>21.241679653527747</v>
      </c>
      <c r="DF25" s="7">
        <f t="shared" si="52"/>
        <v>21.029262856992471</v>
      </c>
      <c r="DG25" s="7">
        <f t="shared" si="52"/>
        <v>20.818970228422547</v>
      </c>
      <c r="DH25" s="7">
        <f t="shared" si="52"/>
        <v>20.610780526138321</v>
      </c>
      <c r="DI25" s="7">
        <f t="shared" si="52"/>
        <v>20.404672720876938</v>
      </c>
      <c r="DJ25" s="7">
        <f t="shared" si="52"/>
        <v>20.200625993668169</v>
      </c>
      <c r="DK25" s="7">
        <f t="shared" si="52"/>
        <v>19.998619733731488</v>
      </c>
      <c r="DL25" s="7">
        <f t="shared" si="52"/>
        <v>19.798633536394174</v>
      </c>
      <c r="DM25" s="7">
        <f t="shared" si="52"/>
        <v>19.600647201030231</v>
      </c>
      <c r="DN25" s="7">
        <f t="shared" si="52"/>
        <v>19.404640729019928</v>
      </c>
      <c r="DO25" s="7">
        <f t="shared" si="52"/>
        <v>19.210594321729729</v>
      </c>
      <c r="DP25" s="7">
        <f t="shared" si="52"/>
        <v>19.018488378512433</v>
      </c>
      <c r="DQ25" s="7">
        <f t="shared" si="52"/>
        <v>18.828303494727308</v>
      </c>
      <c r="DR25" s="7">
        <f t="shared" si="52"/>
        <v>18.640020459780036</v>
      </c>
      <c r="DS25" s="7">
        <f t="shared" si="52"/>
        <v>18.453620255182237</v>
      </c>
      <c r="DT25" s="7">
        <f t="shared" si="52"/>
        <v>18.269084052630415</v>
      </c>
      <c r="DU25" s="7">
        <f t="shared" si="52"/>
        <v>18.08639321210411</v>
      </c>
      <c r="DV25" s="7">
        <f t="shared" si="52"/>
        <v>17.905529279983067</v>
      </c>
      <c r="DW25" s="7">
        <f t="shared" si="52"/>
        <v>17.726473987183237</v>
      </c>
      <c r="DX25" s="7">
        <f t="shared" si="52"/>
        <v>17.549209247311403</v>
      </c>
      <c r="DY25" s="7">
        <f t="shared" ref="DY25:EH25" si="53">DX25*(1+$AI$33)</f>
        <v>17.373717154838289</v>
      </c>
      <c r="DZ25" s="7">
        <f t="shared" si="53"/>
        <v>17.199979983289907</v>
      </c>
      <c r="EA25" s="7">
        <f t="shared" si="53"/>
        <v>17.027980183457007</v>
      </c>
      <c r="EB25" s="7">
        <f t="shared" si="53"/>
        <v>16.857700381622436</v>
      </c>
      <c r="EC25" s="7">
        <f t="shared" si="53"/>
        <v>16.689123377806212</v>
      </c>
      <c r="ED25" s="7">
        <f t="shared" si="53"/>
        <v>16.522232144028148</v>
      </c>
      <c r="EE25" s="7">
        <f t="shared" si="53"/>
        <v>16.357009822587866</v>
      </c>
      <c r="EF25" s="7">
        <f t="shared" si="53"/>
        <v>16.193439724361987</v>
      </c>
      <c r="EG25" s="7">
        <f t="shared" si="53"/>
        <v>16.031505327118367</v>
      </c>
      <c r="EH25" s="7">
        <f t="shared" si="53"/>
        <v>15.871190273847184</v>
      </c>
    </row>
    <row r="26" spans="2:138" x14ac:dyDescent="0.3">
      <c r="B26" t="s">
        <v>2</v>
      </c>
      <c r="D26" s="2">
        <v>34.799999999999997</v>
      </c>
      <c r="E26" s="2">
        <v>34.799999999999997</v>
      </c>
      <c r="F26" s="2">
        <v>34.799999999999997</v>
      </c>
      <c r="G26" s="2">
        <v>34.799999999999997</v>
      </c>
      <c r="H26" s="2">
        <v>34.799999999999997</v>
      </c>
      <c r="I26" s="2">
        <v>34.799999999999997</v>
      </c>
      <c r="J26" s="2">
        <v>34.799999999999997</v>
      </c>
      <c r="K26" s="2">
        <f>35.6</f>
        <v>35.6</v>
      </c>
      <c r="L26" s="2">
        <f>35.7</f>
        <v>35.700000000000003</v>
      </c>
      <c r="M26" s="2">
        <f>35.6</f>
        <v>35.6</v>
      </c>
      <c r="N26" s="2">
        <f>35.6</f>
        <v>35.6</v>
      </c>
      <c r="P26" s="2">
        <v>34.799999999999997</v>
      </c>
      <c r="Q26" s="2">
        <v>34.799999999999997</v>
      </c>
      <c r="R26" s="2">
        <v>34.799999999999997</v>
      </c>
      <c r="S26" s="2">
        <v>34.799999999999997</v>
      </c>
      <c r="T26" s="2">
        <v>34.799999999999997</v>
      </c>
      <c r="U26" s="2">
        <v>34.799999999999997</v>
      </c>
      <c r="V26" s="2">
        <f t="shared" ref="V26:AF26" si="54">35.6</f>
        <v>35.6</v>
      </c>
      <c r="W26" s="2">
        <f t="shared" si="54"/>
        <v>35.6</v>
      </c>
      <c r="X26" s="2">
        <f t="shared" si="54"/>
        <v>35.6</v>
      </c>
      <c r="Y26" s="2">
        <f t="shared" si="54"/>
        <v>35.6</v>
      </c>
      <c r="Z26" s="2">
        <f t="shared" si="54"/>
        <v>35.6</v>
      </c>
      <c r="AA26" s="2">
        <f t="shared" si="54"/>
        <v>35.6</v>
      </c>
      <c r="AB26" s="2">
        <f t="shared" si="54"/>
        <v>35.6</v>
      </c>
      <c r="AC26" s="2">
        <f t="shared" si="54"/>
        <v>35.6</v>
      </c>
      <c r="AD26" s="2">
        <f t="shared" si="54"/>
        <v>35.6</v>
      </c>
      <c r="AE26" s="2">
        <f t="shared" si="54"/>
        <v>35.6</v>
      </c>
      <c r="AF26" s="2">
        <f t="shared" si="54"/>
        <v>35.6</v>
      </c>
    </row>
    <row r="27" spans="2:138" x14ac:dyDescent="0.3">
      <c r="B27" t="s">
        <v>27</v>
      </c>
      <c r="D27" s="6">
        <f t="shared" ref="D27:L27" si="55">D25/D26</f>
        <v>1.149425287356322E-2</v>
      </c>
      <c r="E27" s="6">
        <f t="shared" si="55"/>
        <v>0.14942528735632185</v>
      </c>
      <c r="F27" s="6">
        <f t="shared" si="55"/>
        <v>0.18103448275862075</v>
      </c>
      <c r="G27" s="6">
        <f t="shared" si="55"/>
        <v>0.20977011494252873</v>
      </c>
      <c r="H27" s="6">
        <f t="shared" si="55"/>
        <v>0.20114942528735635</v>
      </c>
      <c r="I27" s="6">
        <f t="shared" si="55"/>
        <v>0.24712643678160937</v>
      </c>
      <c r="J27" s="6">
        <f t="shared" si="55"/>
        <v>0.22988505747126423</v>
      </c>
      <c r="K27" s="6">
        <f t="shared" si="55"/>
        <v>0.3146067415730337</v>
      </c>
      <c r="L27" s="6">
        <f t="shared" si="55"/>
        <v>-0.37815126050420167</v>
      </c>
      <c r="M27" s="6">
        <f t="shared" ref="M27" si="56">M25/M26</f>
        <v>-0.10674157303370777</v>
      </c>
      <c r="N27" s="6">
        <f t="shared" ref="N27" si="57">N25/N26</f>
        <v>0.26860955056179775</v>
      </c>
      <c r="P27" s="6">
        <f t="shared" ref="P27:U27" si="58">P25/P26</f>
        <v>-5.7471264367816112E-2</v>
      </c>
      <c r="Q27" s="6">
        <f t="shared" si="58"/>
        <v>0.43103448275862072</v>
      </c>
      <c r="R27" s="6">
        <f t="shared" si="58"/>
        <v>0.35919540229885055</v>
      </c>
      <c r="S27" s="6">
        <f t="shared" si="58"/>
        <v>6.6091954022988425E-2</v>
      </c>
      <c r="T27" s="6">
        <f t="shared" si="58"/>
        <v>0.52586206896551779</v>
      </c>
      <c r="U27" s="6">
        <f t="shared" si="58"/>
        <v>0.88505747126436785</v>
      </c>
      <c r="V27" s="6">
        <f t="shared" ref="V27" si="59">V25/V26</f>
        <v>9.7261235955055855E-2</v>
      </c>
      <c r="W27" s="6">
        <f t="shared" ref="W27" si="60">W25/W26</f>
        <v>0.71271306179775318</v>
      </c>
      <c r="X27" s="6">
        <f t="shared" ref="X27" si="61">X25/X26</f>
        <v>0.77435828988764122</v>
      </c>
      <c r="Y27" s="6">
        <f t="shared" ref="Y27" si="62">Y25/Y26</f>
        <v>0.84507915440449433</v>
      </c>
      <c r="Z27" s="6">
        <f t="shared" ref="Z27" si="63">Z25/Z26</f>
        <v>0.96111521699213465</v>
      </c>
      <c r="AA27" s="6">
        <f t="shared" ref="AA27" si="64">AA25/AA26</f>
        <v>1.0214890729056127</v>
      </c>
      <c r="AB27" s="6">
        <f t="shared" ref="AB27" si="65">AB25/AB26</f>
        <v>1.063305153448161</v>
      </c>
      <c r="AC27" s="6">
        <f t="shared" ref="AC27" si="66">AC25/AC26</f>
        <v>1.1177052838880246</v>
      </c>
      <c r="AD27" s="6">
        <f t="shared" ref="AD27" si="67">AD25/AD26</f>
        <v>1.1741874377578139</v>
      </c>
      <c r="AE27" s="6">
        <f t="shared" ref="AE27" si="68">AE25/AE26</f>
        <v>1.2328230761507584</v>
      </c>
      <c r="AF27" s="6">
        <f t="shared" ref="AF27" si="69">AF25/AF26</f>
        <v>1.293685984000696</v>
      </c>
    </row>
    <row r="29" spans="2:138" x14ac:dyDescent="0.3">
      <c r="B29" t="s">
        <v>89</v>
      </c>
      <c r="K29" s="9">
        <f t="shared" ref="K29:L29" si="70">K8/G8-1</f>
        <v>3.95</v>
      </c>
      <c r="L29" s="9">
        <f t="shared" si="70"/>
        <v>4.2631578947368425</v>
      </c>
      <c r="M29" s="9">
        <f>M3/I3-1</f>
        <v>0</v>
      </c>
    </row>
    <row r="30" spans="2:138" x14ac:dyDescent="0.3">
      <c r="B30" t="s">
        <v>90</v>
      </c>
      <c r="K30" s="9">
        <f t="shared" ref="K30:L30" si="71">K9/G9-1</f>
        <v>0.28205128205128216</v>
      </c>
      <c r="L30" s="9">
        <f t="shared" si="71"/>
        <v>4.5454545454545192E-2</v>
      </c>
      <c r="M30" s="9">
        <f>M4/I4-1</f>
        <v>3</v>
      </c>
    </row>
    <row r="31" spans="2:138" x14ac:dyDescent="0.3">
      <c r="B31" t="s">
        <v>40</v>
      </c>
      <c r="D31" s="9"/>
      <c r="E31" s="9"/>
      <c r="F31" s="9"/>
      <c r="G31" s="9"/>
      <c r="H31" s="9">
        <f t="shared" ref="H31:N31" si="72">H10/D10-1</f>
        <v>0.17307692307692313</v>
      </c>
      <c r="I31" s="9">
        <f t="shared" si="72"/>
        <v>0.37021276595744701</v>
      </c>
      <c r="J31" s="9">
        <f t="shared" si="72"/>
        <v>8.6153846153846025E-2</v>
      </c>
      <c r="K31" s="9">
        <f t="shared" si="72"/>
        <v>0.3904109589041096</v>
      </c>
      <c r="L31" s="9">
        <f t="shared" si="72"/>
        <v>0.29508196721311486</v>
      </c>
      <c r="M31" s="9">
        <f t="shared" si="72"/>
        <v>0.21118012422360244</v>
      </c>
      <c r="N31" s="9">
        <f t="shared" si="72"/>
        <v>0.25</v>
      </c>
      <c r="P31" s="9"/>
      <c r="Q31" s="9">
        <f t="shared" ref="Q31:AF31" si="73">Q10/P10-1</f>
        <v>0.45077720207253891</v>
      </c>
      <c r="R31" s="9">
        <f t="shared" si="73"/>
        <v>0.51071428571428568</v>
      </c>
      <c r="S31" s="9">
        <f t="shared" si="73"/>
        <v>0.8085106382978724</v>
      </c>
      <c r="T31" s="9">
        <f t="shared" si="73"/>
        <v>0.42091503267973862</v>
      </c>
      <c r="U31" s="9">
        <f t="shared" si="73"/>
        <v>0.170193192272309</v>
      </c>
      <c r="V31" s="9">
        <f t="shared" si="73"/>
        <v>0.28321540880503138</v>
      </c>
      <c r="W31" s="9">
        <f t="shared" si="73"/>
        <v>0.12000000000000011</v>
      </c>
      <c r="X31" s="9">
        <f t="shared" si="73"/>
        <v>8.0000000000000071E-2</v>
      </c>
      <c r="Y31" s="9">
        <f t="shared" si="73"/>
        <v>6.0000000000000053E-2</v>
      </c>
      <c r="Z31" s="9">
        <f t="shared" si="73"/>
        <v>5.0000000000000044E-2</v>
      </c>
      <c r="AA31" s="9">
        <f t="shared" si="73"/>
        <v>4.0000000000000036E-2</v>
      </c>
      <c r="AB31" s="9">
        <f t="shared" si="73"/>
        <v>3.0000000000000027E-2</v>
      </c>
      <c r="AC31" s="9">
        <f t="shared" si="73"/>
        <v>3.0000000000000027E-2</v>
      </c>
      <c r="AD31" s="9">
        <f t="shared" si="73"/>
        <v>3.0000000000000027E-2</v>
      </c>
      <c r="AE31" s="9">
        <f t="shared" si="73"/>
        <v>3.0000000000000027E-2</v>
      </c>
      <c r="AF31" s="9">
        <f t="shared" si="73"/>
        <v>3.0000000000000027E-2</v>
      </c>
    </row>
    <row r="32" spans="2:138" x14ac:dyDescent="0.3">
      <c r="B32" t="s">
        <v>41</v>
      </c>
      <c r="D32" s="9">
        <f t="shared" ref="D32:N32" si="74">D12/D10</f>
        <v>0.9653846153846154</v>
      </c>
      <c r="E32" s="9">
        <f t="shared" si="74"/>
        <v>0.91063829787234041</v>
      </c>
      <c r="F32" s="9">
        <f t="shared" si="74"/>
        <v>0.84307692307692306</v>
      </c>
      <c r="G32" s="9">
        <f t="shared" si="74"/>
        <v>0.92465753424657537</v>
      </c>
      <c r="H32" s="9">
        <f t="shared" si="74"/>
        <v>0.95409836065573772</v>
      </c>
      <c r="I32" s="9">
        <f t="shared" si="74"/>
        <v>0.94720496894409945</v>
      </c>
      <c r="J32" s="9">
        <f t="shared" si="74"/>
        <v>0.93767705382436251</v>
      </c>
      <c r="K32" s="9">
        <f t="shared" si="74"/>
        <v>0.94581280788177335</v>
      </c>
      <c r="L32" s="9">
        <f t="shared" si="74"/>
        <v>0.93164556962025313</v>
      </c>
      <c r="M32" s="9">
        <f t="shared" si="74"/>
        <v>0.91282051282051291</v>
      </c>
      <c r="N32" s="9">
        <f t="shared" si="74"/>
        <v>0.9</v>
      </c>
      <c r="P32" s="9">
        <f t="shared" ref="P32:AF32" si="75">P12/P10</f>
        <v>1</v>
      </c>
      <c r="Q32" s="9">
        <f t="shared" si="75"/>
        <v>1</v>
      </c>
      <c r="R32" s="9">
        <f t="shared" si="75"/>
        <v>1</v>
      </c>
      <c r="S32" s="9">
        <f t="shared" si="75"/>
        <v>0.96078431372549022</v>
      </c>
      <c r="T32" s="9">
        <f t="shared" si="75"/>
        <v>0.91628334866605343</v>
      </c>
      <c r="U32" s="9">
        <f t="shared" si="75"/>
        <v>0.94103773584905659</v>
      </c>
      <c r="V32" s="9">
        <f t="shared" si="75"/>
        <v>0.92211671006279672</v>
      </c>
      <c r="W32" s="9">
        <f t="shared" si="75"/>
        <v>0.90000000000000013</v>
      </c>
      <c r="X32" s="9">
        <f t="shared" si="75"/>
        <v>0.9</v>
      </c>
      <c r="Y32" s="9">
        <f t="shared" si="75"/>
        <v>0.9</v>
      </c>
      <c r="Z32" s="9">
        <f t="shared" si="75"/>
        <v>0.9</v>
      </c>
      <c r="AA32" s="9">
        <f t="shared" si="75"/>
        <v>0.9</v>
      </c>
      <c r="AB32" s="9">
        <f t="shared" si="75"/>
        <v>0.9</v>
      </c>
      <c r="AC32" s="9">
        <f t="shared" si="75"/>
        <v>0.89999999999999991</v>
      </c>
      <c r="AD32" s="9">
        <f t="shared" si="75"/>
        <v>0.9</v>
      </c>
      <c r="AE32" s="9">
        <f t="shared" si="75"/>
        <v>0.9</v>
      </c>
      <c r="AF32" s="9">
        <f t="shared" si="75"/>
        <v>0.9</v>
      </c>
    </row>
    <row r="33" spans="2:35" x14ac:dyDescent="0.3">
      <c r="B33" t="s">
        <v>42</v>
      </c>
      <c r="D33" s="9">
        <f t="shared" ref="D33:N33" si="76">D13/D10</f>
        <v>0.33461538461538459</v>
      </c>
      <c r="E33" s="9">
        <f t="shared" si="76"/>
        <v>0.36595744680851061</v>
      </c>
      <c r="F33" s="9">
        <f t="shared" si="76"/>
        <v>0.29846153846153844</v>
      </c>
      <c r="G33" s="9">
        <f t="shared" si="76"/>
        <v>0.32876712328767121</v>
      </c>
      <c r="H33" s="9">
        <f t="shared" si="76"/>
        <v>0.35081967213114751</v>
      </c>
      <c r="I33" s="9">
        <f t="shared" si="76"/>
        <v>0.3354037267080745</v>
      </c>
      <c r="J33" s="9">
        <f t="shared" si="76"/>
        <v>0.30878186968838528</v>
      </c>
      <c r="K33" s="9">
        <f t="shared" si="76"/>
        <v>0.37438423645320196</v>
      </c>
      <c r="L33" s="9">
        <f t="shared" si="76"/>
        <v>0.38987341772151901</v>
      </c>
      <c r="M33" s="9">
        <f t="shared" si="76"/>
        <v>0.40769230769230769</v>
      </c>
      <c r="N33" s="9">
        <f t="shared" si="76"/>
        <v>0.33994334277620397</v>
      </c>
      <c r="P33" s="9">
        <f t="shared" ref="P33:AF33" si="77">P13/P10</f>
        <v>0.56476683937823835</v>
      </c>
      <c r="Q33" s="9">
        <f t="shared" si="77"/>
        <v>0.28928571428571426</v>
      </c>
      <c r="R33" s="9">
        <f t="shared" si="77"/>
        <v>0.33333333333333337</v>
      </c>
      <c r="S33" s="9">
        <f t="shared" si="77"/>
        <v>0.44052287581699351</v>
      </c>
      <c r="T33" s="9">
        <f t="shared" si="77"/>
        <v>0.32474701011959517</v>
      </c>
      <c r="U33" s="9">
        <f t="shared" si="77"/>
        <v>0.32940251572327039</v>
      </c>
      <c r="V33" s="9">
        <f t="shared" si="77"/>
        <v>0.37678051769030479</v>
      </c>
      <c r="W33" s="9">
        <f t="shared" si="77"/>
        <v>0.35</v>
      </c>
      <c r="X33" s="9">
        <f t="shared" si="77"/>
        <v>0.33</v>
      </c>
      <c r="Y33" s="9">
        <f t="shared" si="77"/>
        <v>0.32</v>
      </c>
      <c r="Z33" s="9">
        <f t="shared" si="77"/>
        <v>0.31000000000000005</v>
      </c>
      <c r="AA33" s="9">
        <f t="shared" si="77"/>
        <v>0.31</v>
      </c>
      <c r="AB33" s="9">
        <f t="shared" si="77"/>
        <v>0.30999999999999994</v>
      </c>
      <c r="AC33" s="9">
        <f t="shared" si="77"/>
        <v>0.31</v>
      </c>
      <c r="AD33" s="9">
        <f t="shared" si="77"/>
        <v>0.31</v>
      </c>
      <c r="AE33" s="9">
        <f t="shared" si="77"/>
        <v>0.31</v>
      </c>
      <c r="AF33" s="9">
        <f t="shared" si="77"/>
        <v>0.31</v>
      </c>
      <c r="AH33" t="s">
        <v>47</v>
      </c>
      <c r="AI33" s="9">
        <v>-0.01</v>
      </c>
    </row>
    <row r="34" spans="2:35" x14ac:dyDescent="0.3">
      <c r="B34" t="s">
        <v>43</v>
      </c>
      <c r="D34" s="9"/>
      <c r="E34" s="9"/>
      <c r="F34" s="9"/>
      <c r="G34" s="9"/>
      <c r="H34" s="9">
        <f t="shared" ref="H34:N35" si="78">H14/D14-1</f>
        <v>0.24</v>
      </c>
      <c r="I34" s="9">
        <f t="shared" si="78"/>
        <v>0.43999999999999995</v>
      </c>
      <c r="J34" s="9">
        <f t="shared" si="78"/>
        <v>0.25806451612903225</v>
      </c>
      <c r="K34" s="9">
        <f t="shared" si="78"/>
        <v>0.625</v>
      </c>
      <c r="L34" s="9">
        <f t="shared" si="78"/>
        <v>0.96774193548387077</v>
      </c>
      <c r="M34" s="9">
        <f t="shared" si="78"/>
        <v>0.66666666666666652</v>
      </c>
      <c r="N34" s="9">
        <f t="shared" si="78"/>
        <v>0.74358974358974361</v>
      </c>
      <c r="P34" s="9"/>
      <c r="Q34" s="9">
        <f t="shared" ref="Q34:AF34" si="79">Q14/P14-1</f>
        <v>0</v>
      </c>
      <c r="R34" s="9">
        <f t="shared" si="79"/>
        <v>0.56000000000000005</v>
      </c>
      <c r="S34" s="9">
        <f t="shared" si="79"/>
        <v>0.74358974358974361</v>
      </c>
      <c r="T34" s="9">
        <f t="shared" si="79"/>
        <v>0.51470588235294135</v>
      </c>
      <c r="U34" s="9">
        <f t="shared" si="79"/>
        <v>0.34951456310679596</v>
      </c>
      <c r="V34" s="9">
        <f t="shared" si="79"/>
        <v>0.73381294964028787</v>
      </c>
      <c r="W34" s="9">
        <f t="shared" si="79"/>
        <v>0.30000000000000004</v>
      </c>
      <c r="X34" s="9">
        <f t="shared" si="79"/>
        <v>0.19999999999999996</v>
      </c>
      <c r="Y34" s="9">
        <f t="shared" si="79"/>
        <v>0.10000000000000009</v>
      </c>
      <c r="Z34" s="9">
        <f t="shared" si="79"/>
        <v>5.0000000000000044E-2</v>
      </c>
      <c r="AA34" s="9">
        <f t="shared" si="79"/>
        <v>4.0000000000000036E-2</v>
      </c>
      <c r="AB34" s="9">
        <f t="shared" si="79"/>
        <v>3.0000000000000027E-2</v>
      </c>
      <c r="AC34" s="9">
        <f t="shared" si="79"/>
        <v>2.0000000000000018E-2</v>
      </c>
      <c r="AD34" s="9">
        <f t="shared" si="79"/>
        <v>2.0000000000000018E-2</v>
      </c>
      <c r="AE34" s="9">
        <f t="shared" si="79"/>
        <v>2.0000000000000018E-2</v>
      </c>
      <c r="AF34" s="9">
        <f t="shared" si="79"/>
        <v>2.0000000000000018E-2</v>
      </c>
      <c r="AH34" t="s">
        <v>48</v>
      </c>
      <c r="AI34" s="9">
        <v>0.11</v>
      </c>
    </row>
    <row r="35" spans="2:35" x14ac:dyDescent="0.3">
      <c r="B35" t="s">
        <v>44</v>
      </c>
      <c r="D35" s="9"/>
      <c r="E35" s="9"/>
      <c r="F35" s="9"/>
      <c r="G35" s="9"/>
      <c r="H35" s="9">
        <f t="shared" si="78"/>
        <v>-0.10144927536231885</v>
      </c>
      <c r="I35" s="9">
        <f t="shared" si="78"/>
        <v>0.25</v>
      </c>
      <c r="J35" s="9">
        <f t="shared" si="78"/>
        <v>0.28571428571428581</v>
      </c>
      <c r="K35" s="9">
        <f t="shared" si="78"/>
        <v>0.22222222222222232</v>
      </c>
      <c r="L35" s="9">
        <f t="shared" si="78"/>
        <v>0.35483870967741948</v>
      </c>
      <c r="M35" s="9">
        <f t="shared" si="78"/>
        <v>0.28333333333333344</v>
      </c>
      <c r="N35" s="9">
        <f t="shared" si="78"/>
        <v>0.14999999999999991</v>
      </c>
      <c r="P35" s="9"/>
      <c r="Q35" s="9">
        <f t="shared" ref="Q35:AF35" si="80">Q15/P15-1</f>
        <v>0.4285714285714286</v>
      </c>
      <c r="R35" s="9">
        <f t="shared" si="80"/>
        <v>1.1666666666666665</v>
      </c>
      <c r="S35" s="9">
        <f t="shared" si="80"/>
        <v>0.5</v>
      </c>
      <c r="T35" s="9">
        <f t="shared" si="80"/>
        <v>0.24615384615384617</v>
      </c>
      <c r="U35" s="9">
        <f t="shared" si="80"/>
        <v>0.13580246913580241</v>
      </c>
      <c r="V35" s="9">
        <f t="shared" si="80"/>
        <v>0.23731884057970998</v>
      </c>
      <c r="W35" s="9">
        <f t="shared" si="80"/>
        <v>0.14999999999999991</v>
      </c>
      <c r="X35" s="9">
        <f t="shared" si="80"/>
        <v>8.0000000000000071E-2</v>
      </c>
      <c r="Y35" s="9">
        <f t="shared" si="80"/>
        <v>5.0000000000000044E-2</v>
      </c>
      <c r="Z35" s="9">
        <f t="shared" si="80"/>
        <v>3.0000000000000027E-2</v>
      </c>
      <c r="AA35" s="9">
        <f t="shared" si="80"/>
        <v>2.0000000000000018E-2</v>
      </c>
      <c r="AB35" s="9">
        <f t="shared" si="80"/>
        <v>2.0000000000000018E-2</v>
      </c>
      <c r="AC35" s="9">
        <f t="shared" si="80"/>
        <v>2.0000000000000018E-2</v>
      </c>
      <c r="AD35" s="9">
        <f t="shared" si="80"/>
        <v>2.0000000000000018E-2</v>
      </c>
      <c r="AE35" s="9">
        <f t="shared" si="80"/>
        <v>2.0000000000000018E-2</v>
      </c>
      <c r="AF35" s="9">
        <f t="shared" si="80"/>
        <v>2.0000000000000018E-2</v>
      </c>
      <c r="AH35" t="s">
        <v>49</v>
      </c>
      <c r="AI35" s="2">
        <f>NPV(AI34,V25:EH25)</f>
        <v>305.89656265139018</v>
      </c>
    </row>
    <row r="36" spans="2:35" x14ac:dyDescent="0.3">
      <c r="B36" t="s">
        <v>45</v>
      </c>
      <c r="D36" s="9">
        <f t="shared" ref="D36:N36" si="81">D17/D10</f>
        <v>0.26923076923076922</v>
      </c>
      <c r="E36" s="9">
        <f t="shared" si="81"/>
        <v>0.23404255319148937</v>
      </c>
      <c r="F36" s="9">
        <f t="shared" si="81"/>
        <v>0.2338461538461539</v>
      </c>
      <c r="G36" s="9">
        <f t="shared" si="81"/>
        <v>0.27054794520547942</v>
      </c>
      <c r="H36" s="9">
        <f t="shared" si="81"/>
        <v>0.29836065573770498</v>
      </c>
      <c r="I36" s="9">
        <f t="shared" si="81"/>
        <v>0.31366459627329207</v>
      </c>
      <c r="J36" s="9">
        <f t="shared" si="81"/>
        <v>0.26345609065155789</v>
      </c>
      <c r="K36" s="9">
        <f t="shared" si="81"/>
        <v>0.2536945812807882</v>
      </c>
      <c r="L36" s="9">
        <f t="shared" si="81"/>
        <v>0.17468354430379743</v>
      </c>
      <c r="M36" s="9">
        <f t="shared" si="81"/>
        <v>0.15384615384615394</v>
      </c>
      <c r="N36" s="9">
        <f t="shared" si="81"/>
        <v>0.17138810198300283</v>
      </c>
      <c r="P36" s="9">
        <f t="shared" ref="P36:AF36" si="82">P17/P10</f>
        <v>8.8082901554404111E-2</v>
      </c>
      <c r="Q36" s="9">
        <f t="shared" si="82"/>
        <v>0.40714285714285708</v>
      </c>
      <c r="R36" s="9">
        <f t="shared" si="82"/>
        <v>0.26713947990543729</v>
      </c>
      <c r="S36" s="9">
        <f t="shared" si="82"/>
        <v>0.17647058823529413</v>
      </c>
      <c r="T36" s="9">
        <f t="shared" si="82"/>
        <v>0.27322907083716669</v>
      </c>
      <c r="U36" s="9">
        <f t="shared" si="82"/>
        <v>0.285377358490566</v>
      </c>
      <c r="V36" s="9">
        <f t="shared" si="82"/>
        <v>0.18846684025118696</v>
      </c>
      <c r="W36" s="9">
        <f t="shared" si="82"/>
        <v>0.16379723431722215</v>
      </c>
      <c r="X36" s="9">
        <f t="shared" si="82"/>
        <v>0.16475520692782156</v>
      </c>
      <c r="Y36" s="9">
        <f t="shared" si="82"/>
        <v>0.16959618262218126</v>
      </c>
      <c r="Z36" s="9">
        <f t="shared" si="82"/>
        <v>0.18364947543686372</v>
      </c>
      <c r="AA36" s="9">
        <f t="shared" si="82"/>
        <v>0.18766379428217436</v>
      </c>
      <c r="AB36" s="9">
        <f t="shared" si="82"/>
        <v>0.18965146672014374</v>
      </c>
      <c r="AC36" s="9">
        <f t="shared" si="82"/>
        <v>0.19353834568402575</v>
      </c>
      <c r="AD36" s="9">
        <f t="shared" si="82"/>
        <v>0.19738748795893823</v>
      </c>
      <c r="AE36" s="9">
        <f t="shared" si="82"/>
        <v>0.20119925992050186</v>
      </c>
      <c r="AF36" s="9">
        <f t="shared" si="82"/>
        <v>0.20497402438729309</v>
      </c>
      <c r="AH36" t="s">
        <v>53</v>
      </c>
      <c r="AI36" s="2">
        <f>Main!D8</f>
        <v>-75.699999999999989</v>
      </c>
    </row>
    <row r="37" spans="2:35" x14ac:dyDescent="0.3">
      <c r="B37" t="s">
        <v>25</v>
      </c>
      <c r="D37" s="9">
        <f t="shared" ref="D37:N37" si="83">D24/D23</f>
        <v>0.6</v>
      </c>
      <c r="E37" s="9">
        <f t="shared" si="83"/>
        <v>5.4545454545454543E-2</v>
      </c>
      <c r="F37" s="9">
        <f t="shared" si="83"/>
        <v>-3.2786885245901634E-2</v>
      </c>
      <c r="G37" s="9">
        <f t="shared" si="83"/>
        <v>0.13095238095238099</v>
      </c>
      <c r="H37" s="9">
        <f t="shared" si="83"/>
        <v>9.0909090909090884E-2</v>
      </c>
      <c r="I37" s="9">
        <f t="shared" si="83"/>
        <v>6.5217391304347797E-2</v>
      </c>
      <c r="J37" s="9">
        <f t="shared" si="83"/>
        <v>0.12087912087912096</v>
      </c>
      <c r="K37" s="9">
        <f t="shared" si="83"/>
        <v>-2.7522935779816512E-2</v>
      </c>
      <c r="L37" s="9">
        <f t="shared" si="83"/>
        <v>-9.7560975609756087E-2</v>
      </c>
      <c r="M37" s="9">
        <f t="shared" si="83"/>
        <v>-0.11764705882352954</v>
      </c>
      <c r="N37" s="9">
        <f t="shared" si="83"/>
        <v>0</v>
      </c>
      <c r="P37" s="9">
        <f t="shared" ref="P37:AF37" si="84">P24/P23</f>
        <v>-0.81818181818181779</v>
      </c>
      <c r="Q37" s="9">
        <f t="shared" si="84"/>
        <v>-0.40186915887850466</v>
      </c>
      <c r="R37" s="9">
        <f t="shared" si="84"/>
        <v>-2.4590163934426233E-2</v>
      </c>
      <c r="S37" s="9">
        <f t="shared" si="84"/>
        <v>0.17857142857142874</v>
      </c>
      <c r="T37" s="9">
        <f t="shared" si="84"/>
        <v>9.4059405940593976E-2</v>
      </c>
      <c r="U37" s="9">
        <f t="shared" si="84"/>
        <v>0.10204081632653061</v>
      </c>
      <c r="V37" s="9">
        <f t="shared" si="84"/>
        <v>0.27296587926509247</v>
      </c>
      <c r="W37" s="9">
        <f t="shared" si="84"/>
        <v>0.15</v>
      </c>
      <c r="X37" s="9">
        <f t="shared" si="84"/>
        <v>0.15</v>
      </c>
      <c r="Y37" s="9">
        <f t="shared" si="84"/>
        <v>0.15</v>
      </c>
      <c r="Z37" s="9">
        <f t="shared" si="84"/>
        <v>0.15</v>
      </c>
      <c r="AA37" s="9">
        <f t="shared" si="84"/>
        <v>0.15</v>
      </c>
      <c r="AB37" s="9">
        <f t="shared" si="84"/>
        <v>0.15</v>
      </c>
      <c r="AC37" s="9">
        <f t="shared" si="84"/>
        <v>0.15</v>
      </c>
      <c r="AD37" s="9">
        <f t="shared" si="84"/>
        <v>0.15</v>
      </c>
      <c r="AE37" s="9">
        <f t="shared" si="84"/>
        <v>0.15</v>
      </c>
      <c r="AF37" s="9">
        <f t="shared" si="84"/>
        <v>0.14999999999999997</v>
      </c>
      <c r="AH37" t="s">
        <v>50</v>
      </c>
      <c r="AI37" s="2">
        <f>AI35+AI36</f>
        <v>230.1965626513902</v>
      </c>
    </row>
    <row r="38" spans="2:35" x14ac:dyDescent="0.3">
      <c r="B38" t="s">
        <v>46</v>
      </c>
      <c r="D38" s="9">
        <f t="shared" ref="D38:N38" si="85">D25/D10</f>
        <v>1.5384615384615385E-2</v>
      </c>
      <c r="E38" s="9">
        <f t="shared" si="85"/>
        <v>0.22127659574468087</v>
      </c>
      <c r="F38" s="9">
        <f t="shared" si="85"/>
        <v>0.19384615384615389</v>
      </c>
      <c r="G38" s="9">
        <f t="shared" si="85"/>
        <v>0.24999999999999997</v>
      </c>
      <c r="H38" s="9">
        <f t="shared" si="85"/>
        <v>0.22950819672131151</v>
      </c>
      <c r="I38" s="9">
        <f t="shared" si="85"/>
        <v>0.26708074534161502</v>
      </c>
      <c r="J38" s="9">
        <f t="shared" si="85"/>
        <v>0.22662889518413584</v>
      </c>
      <c r="K38" s="9">
        <f t="shared" si="85"/>
        <v>0.27586206896551724</v>
      </c>
      <c r="L38" s="9">
        <f t="shared" si="85"/>
        <v>-0.34177215189873417</v>
      </c>
      <c r="M38" s="9">
        <f t="shared" si="85"/>
        <v>-9.7435897435897353E-2</v>
      </c>
      <c r="N38" s="9">
        <f t="shared" si="85"/>
        <v>0.21671388101983002</v>
      </c>
      <c r="P38" s="9">
        <f t="shared" ref="P38:AF38" si="86">P25/P10</f>
        <v>-0.10362694300518137</v>
      </c>
      <c r="Q38" s="9">
        <f t="shared" si="86"/>
        <v>0.5357142857142857</v>
      </c>
      <c r="R38" s="9">
        <f t="shared" si="86"/>
        <v>0.29550827423167847</v>
      </c>
      <c r="S38" s="9">
        <f t="shared" si="86"/>
        <v>3.0065359477124146E-2</v>
      </c>
      <c r="T38" s="9">
        <f t="shared" si="86"/>
        <v>0.16835326586936539</v>
      </c>
      <c r="U38" s="9">
        <f t="shared" si="86"/>
        <v>0.24213836477987419</v>
      </c>
      <c r="V38" s="9">
        <f t="shared" si="86"/>
        <v>2.1213049471588231E-2</v>
      </c>
      <c r="W38" s="9">
        <f t="shared" si="86"/>
        <v>0.13879058814519843</v>
      </c>
      <c r="X38" s="9">
        <f t="shared" si="86"/>
        <v>0.13962509917089497</v>
      </c>
      <c r="Y38" s="9">
        <f t="shared" si="86"/>
        <v>0.14375172549367865</v>
      </c>
      <c r="Z38" s="9">
        <f t="shared" si="86"/>
        <v>0.15570473923825731</v>
      </c>
      <c r="AA38" s="9">
        <f t="shared" si="86"/>
        <v>0.15912073059218557</v>
      </c>
      <c r="AB38" s="9">
        <f t="shared" si="86"/>
        <v>0.16081025216445954</v>
      </c>
      <c r="AC38" s="9">
        <f t="shared" si="86"/>
        <v>0.16411409928375922</v>
      </c>
      <c r="AD38" s="9">
        <f t="shared" si="86"/>
        <v>0.16738587021743484</v>
      </c>
      <c r="AE38" s="9">
        <f t="shared" si="86"/>
        <v>0.17062587638476392</v>
      </c>
      <c r="AF38" s="9">
        <f t="shared" si="86"/>
        <v>0.17383442618153647</v>
      </c>
      <c r="AH38" t="s">
        <v>51</v>
      </c>
      <c r="AI38" s="1">
        <f>AI37/AF26</f>
        <v>6.4661955800952295</v>
      </c>
    </row>
    <row r="39" spans="2:35" x14ac:dyDescent="0.3">
      <c r="AH39" t="s">
        <v>52</v>
      </c>
      <c r="AI39" s="1">
        <f>Main!D3</f>
        <v>5.1100000000000003</v>
      </c>
    </row>
    <row r="40" spans="2:35" s="7" customFormat="1" x14ac:dyDescent="0.3">
      <c r="B40" s="7" t="s">
        <v>53</v>
      </c>
      <c r="I40" s="8">
        <f>I49-I59-I66</f>
        <v>-8.7000000000000011</v>
      </c>
      <c r="J40" s="8">
        <f>J49-J59-J66</f>
        <v>-9.2000000000000028</v>
      </c>
      <c r="K40" s="8">
        <f>K49-K59-K66</f>
        <v>-67</v>
      </c>
      <c r="L40" s="8">
        <f>L49-L59-L66</f>
        <v>-71.5</v>
      </c>
      <c r="M40" s="8">
        <f>M49-M59-M66</f>
        <v>-75.699999999999989</v>
      </c>
      <c r="AH40" s="7" t="s">
        <v>54</v>
      </c>
      <c r="AI40" s="10">
        <f>AI38/AI39-1</f>
        <v>0.26540030921628754</v>
      </c>
    </row>
    <row r="41" spans="2:35" x14ac:dyDescent="0.3">
      <c r="B41" t="s">
        <v>64</v>
      </c>
      <c r="I41" s="2">
        <v>1.9</v>
      </c>
      <c r="J41" s="2">
        <v>1.8</v>
      </c>
      <c r="K41" s="2">
        <v>2.1</v>
      </c>
      <c r="L41" s="2">
        <v>2.2000000000000002</v>
      </c>
      <c r="M41" s="2">
        <v>2.2999999999999998</v>
      </c>
      <c r="AH41" t="s">
        <v>55</v>
      </c>
      <c r="AI41" s="5" t="s">
        <v>91</v>
      </c>
    </row>
    <row r="42" spans="2:35" x14ac:dyDescent="0.3">
      <c r="B42" t="s">
        <v>66</v>
      </c>
      <c r="I42" s="2">
        <v>5.0999999999999996</v>
      </c>
      <c r="J42" s="2">
        <v>4.5999999999999996</v>
      </c>
      <c r="K42" s="2">
        <v>4.4000000000000004</v>
      </c>
      <c r="L42" s="2">
        <v>4.8</v>
      </c>
      <c r="M42" s="2">
        <v>4.5</v>
      </c>
      <c r="AI42" s="5"/>
    </row>
    <row r="43" spans="2:35" x14ac:dyDescent="0.3">
      <c r="B43" t="s">
        <v>67</v>
      </c>
      <c r="I43" s="2">
        <v>138.4</v>
      </c>
      <c r="J43" s="2">
        <v>130.80000000000001</v>
      </c>
      <c r="K43" s="2">
        <v>248.1</v>
      </c>
      <c r="L43" s="2">
        <v>255.1</v>
      </c>
      <c r="M43" s="2">
        <v>261.89999999999998</v>
      </c>
      <c r="AI43" s="5"/>
    </row>
    <row r="44" spans="2:35" x14ac:dyDescent="0.3">
      <c r="B44" t="s">
        <v>68</v>
      </c>
      <c r="I44" s="2">
        <v>0</v>
      </c>
      <c r="J44" s="2">
        <v>0</v>
      </c>
      <c r="K44" s="2">
        <v>0</v>
      </c>
      <c r="L44" s="2">
        <v>0</v>
      </c>
      <c r="M44" s="2">
        <v>0.4</v>
      </c>
      <c r="AI44" s="5"/>
    </row>
    <row r="45" spans="2:35" x14ac:dyDescent="0.3">
      <c r="B45" t="s">
        <v>69</v>
      </c>
      <c r="I45" s="2">
        <v>6.8</v>
      </c>
      <c r="J45" s="2">
        <v>6.4</v>
      </c>
      <c r="K45" s="2">
        <v>5.8</v>
      </c>
      <c r="L45" s="2">
        <v>5.7</v>
      </c>
      <c r="M45" s="2">
        <v>4.8</v>
      </c>
      <c r="AI45" s="5"/>
    </row>
    <row r="46" spans="2:35" s="7" customFormat="1" x14ac:dyDescent="0.3">
      <c r="B46" s="7" t="s">
        <v>70</v>
      </c>
      <c r="I46" s="8">
        <f>SUM(I41:I45)</f>
        <v>152.20000000000002</v>
      </c>
      <c r="J46" s="8">
        <f>SUM(J41:J45)</f>
        <v>143.60000000000002</v>
      </c>
      <c r="K46" s="8">
        <f>SUM(K41:K45)</f>
        <v>260.39999999999998</v>
      </c>
      <c r="L46" s="8">
        <f>SUM(L41:L45)</f>
        <v>267.8</v>
      </c>
      <c r="M46" s="8">
        <f>SUM(M41:M45)</f>
        <v>273.89999999999998</v>
      </c>
      <c r="AI46" s="11"/>
    </row>
    <row r="47" spans="2:35" x14ac:dyDescent="0.3">
      <c r="B47" t="s">
        <v>25</v>
      </c>
      <c r="I47" s="2">
        <v>0.2</v>
      </c>
      <c r="J47" s="2"/>
      <c r="K47" s="2"/>
      <c r="L47" s="2"/>
      <c r="M47" s="2"/>
      <c r="AI47" s="5"/>
    </row>
    <row r="48" spans="2:35" x14ac:dyDescent="0.3">
      <c r="B48" t="s">
        <v>61</v>
      </c>
      <c r="I48" s="2">
        <v>20.399999999999999</v>
      </c>
      <c r="J48" s="2">
        <v>21.2</v>
      </c>
      <c r="K48" s="2">
        <v>24</v>
      </c>
      <c r="L48" s="2">
        <v>22.5</v>
      </c>
      <c r="M48" s="2">
        <v>23.9</v>
      </c>
      <c r="AI48" s="5"/>
    </row>
    <row r="49" spans="2:35" x14ac:dyDescent="0.3">
      <c r="B49" t="s">
        <v>4</v>
      </c>
      <c r="I49" s="2">
        <v>15.7</v>
      </c>
      <c r="J49" s="2">
        <v>13.7</v>
      </c>
      <c r="K49" s="2">
        <v>21.5</v>
      </c>
      <c r="L49" s="2">
        <v>18.7</v>
      </c>
      <c r="M49" s="2">
        <v>7.4</v>
      </c>
      <c r="AI49" s="5"/>
    </row>
    <row r="50" spans="2:35" s="7" customFormat="1" x14ac:dyDescent="0.3">
      <c r="B50" s="7" t="s">
        <v>71</v>
      </c>
      <c r="I50" s="8">
        <f>SUM(I48:I49)</f>
        <v>36.099999999999994</v>
      </c>
      <c r="J50" s="8">
        <f>SUM(J48:J49)</f>
        <v>34.9</v>
      </c>
      <c r="K50" s="8">
        <f>SUM(K48:K49)</f>
        <v>45.5</v>
      </c>
      <c r="L50" s="8">
        <f>SUM(L48:L49)</f>
        <v>41.2</v>
      </c>
      <c r="M50" s="8">
        <f>SUM(M48:M49)</f>
        <v>31.299999999999997</v>
      </c>
      <c r="AI50" s="11"/>
    </row>
    <row r="51" spans="2:35" s="12" customFormat="1" x14ac:dyDescent="0.3">
      <c r="B51" s="12" t="s">
        <v>72</v>
      </c>
      <c r="I51" s="13">
        <f>SUM(I50,I46)</f>
        <v>188.3</v>
      </c>
      <c r="J51" s="13">
        <f>SUM(J50,J46)</f>
        <v>178.50000000000003</v>
      </c>
      <c r="K51" s="13">
        <f>SUM(K50,K46)</f>
        <v>305.89999999999998</v>
      </c>
      <c r="L51" s="13">
        <f>SUM(L50,L46)</f>
        <v>309</v>
      </c>
      <c r="M51" s="13">
        <f>SUM(M50,M46)</f>
        <v>305.2</v>
      </c>
      <c r="AI51" s="14"/>
    </row>
    <row r="52" spans="2:35" s="7" customFormat="1" x14ac:dyDescent="0.3">
      <c r="B52" s="7" t="s">
        <v>73</v>
      </c>
      <c r="I52" s="8">
        <v>125.3</v>
      </c>
      <c r="J52" s="8">
        <v>123.2</v>
      </c>
      <c r="K52" s="8">
        <v>147.4</v>
      </c>
      <c r="L52" s="8">
        <v>139.69999999999999</v>
      </c>
      <c r="M52" s="8">
        <v>133.69999999999999</v>
      </c>
      <c r="AI52" s="11"/>
    </row>
    <row r="53" spans="2:35" x14ac:dyDescent="0.3">
      <c r="B53" t="s">
        <v>62</v>
      </c>
      <c r="I53" s="2">
        <v>0</v>
      </c>
      <c r="J53" s="2">
        <v>0</v>
      </c>
      <c r="K53" s="2">
        <v>0</v>
      </c>
      <c r="L53" s="2">
        <v>0.6</v>
      </c>
      <c r="M53" s="2">
        <v>0.9</v>
      </c>
      <c r="AI53" s="5"/>
    </row>
    <row r="54" spans="2:35" x14ac:dyDescent="0.3">
      <c r="B54" t="s">
        <v>74</v>
      </c>
      <c r="I54" s="2">
        <v>4.2</v>
      </c>
      <c r="J54" s="2">
        <v>3.8</v>
      </c>
      <c r="K54" s="2">
        <v>3.6</v>
      </c>
      <c r="L54" s="2">
        <v>4</v>
      </c>
      <c r="M54" s="2">
        <v>3.9</v>
      </c>
      <c r="AI54" s="5"/>
    </row>
    <row r="55" spans="2:35" x14ac:dyDescent="0.3">
      <c r="B55" t="s">
        <v>80</v>
      </c>
      <c r="I55" s="2"/>
      <c r="J55" s="2"/>
      <c r="K55" s="2">
        <v>1.7</v>
      </c>
      <c r="L55" s="2"/>
      <c r="M55" s="2"/>
      <c r="AI55" s="5"/>
    </row>
    <row r="56" spans="2:35" x14ac:dyDescent="0.3">
      <c r="B56" t="s">
        <v>75</v>
      </c>
      <c r="I56" s="2">
        <v>0</v>
      </c>
      <c r="J56" s="2">
        <v>0</v>
      </c>
      <c r="K56" s="2">
        <v>0</v>
      </c>
      <c r="L56" s="2">
        <v>0.4</v>
      </c>
      <c r="M56" s="2">
        <v>0.4</v>
      </c>
      <c r="AI56" s="5"/>
    </row>
    <row r="57" spans="2:35" x14ac:dyDescent="0.3">
      <c r="B57" t="s">
        <v>69</v>
      </c>
      <c r="I57" s="2">
        <v>2.2999999999999998</v>
      </c>
      <c r="J57" s="2">
        <v>2.2999999999999998</v>
      </c>
      <c r="K57" s="2">
        <v>7.9</v>
      </c>
      <c r="L57" s="2">
        <v>7.3</v>
      </c>
      <c r="M57" s="2">
        <v>7</v>
      </c>
      <c r="AI57" s="5"/>
    </row>
    <row r="58" spans="2:35" x14ac:dyDescent="0.3">
      <c r="B58" t="s">
        <v>76</v>
      </c>
      <c r="I58" s="2">
        <v>0</v>
      </c>
      <c r="J58" s="2">
        <v>0</v>
      </c>
      <c r="K58" s="2">
        <v>24.2</v>
      </c>
      <c r="L58" s="2">
        <v>8</v>
      </c>
      <c r="M58" s="2">
        <v>16.100000000000001</v>
      </c>
      <c r="AI58" s="5"/>
    </row>
    <row r="59" spans="2:35" x14ac:dyDescent="0.3">
      <c r="B59" t="s">
        <v>5</v>
      </c>
      <c r="I59" s="2">
        <v>21.5</v>
      </c>
      <c r="J59" s="2">
        <v>19.600000000000001</v>
      </c>
      <c r="K59" s="2">
        <v>78.099999999999994</v>
      </c>
      <c r="L59" s="2">
        <v>75.8</v>
      </c>
      <c r="M59" s="2">
        <v>73.099999999999994</v>
      </c>
      <c r="AI59" s="5"/>
    </row>
    <row r="60" spans="2:35" x14ac:dyDescent="0.3">
      <c r="B60" t="s">
        <v>77</v>
      </c>
      <c r="I60" s="2">
        <v>0</v>
      </c>
      <c r="J60" s="2">
        <v>0</v>
      </c>
      <c r="K60" s="2">
        <v>0</v>
      </c>
      <c r="L60" s="2">
        <v>3</v>
      </c>
      <c r="M60" s="2">
        <v>2.2999999999999998</v>
      </c>
      <c r="AI60" s="5"/>
    </row>
    <row r="61" spans="2:35" s="7" customFormat="1" x14ac:dyDescent="0.3">
      <c r="B61" s="7" t="s">
        <v>78</v>
      </c>
      <c r="I61" s="8">
        <f>SUM(I53:I60)</f>
        <v>28</v>
      </c>
      <c r="J61" s="8">
        <f>SUM(J53:J60)</f>
        <v>25.700000000000003</v>
      </c>
      <c r="K61" s="8">
        <f>SUM(K53:K60)</f>
        <v>115.5</v>
      </c>
      <c r="L61" s="8">
        <f>SUM(L53:L60)</f>
        <v>99.1</v>
      </c>
      <c r="M61" s="8">
        <f>SUM(M53:M60)</f>
        <v>103.69999999999999</v>
      </c>
      <c r="AI61" s="11"/>
    </row>
    <row r="62" spans="2:35" x14ac:dyDescent="0.3">
      <c r="B62" t="s">
        <v>62</v>
      </c>
      <c r="I62" s="2">
        <v>8</v>
      </c>
      <c r="J62" s="2">
        <v>10.199999999999999</v>
      </c>
      <c r="K62" s="2">
        <v>7.6</v>
      </c>
      <c r="L62" s="2">
        <v>9.8000000000000007</v>
      </c>
      <c r="M62" s="2">
        <v>12.1</v>
      </c>
    </row>
    <row r="63" spans="2:35" x14ac:dyDescent="0.3">
      <c r="B63" t="s">
        <v>79</v>
      </c>
      <c r="I63" s="2">
        <v>2.5</v>
      </c>
      <c r="J63" s="2">
        <v>2.6</v>
      </c>
      <c r="K63" s="2">
        <v>5.4</v>
      </c>
      <c r="L63" s="2">
        <v>4.7</v>
      </c>
      <c r="M63" s="2">
        <v>5.4</v>
      </c>
    </row>
    <row r="64" spans="2:35" x14ac:dyDescent="0.3">
      <c r="B64" t="s">
        <v>76</v>
      </c>
      <c r="I64" s="2">
        <v>2.7</v>
      </c>
      <c r="J64" s="2">
        <v>0</v>
      </c>
      <c r="K64" s="2">
        <v>0</v>
      </c>
      <c r="L64" s="2">
        <v>37.200000000000003</v>
      </c>
      <c r="M64" s="2">
        <v>38.5</v>
      </c>
    </row>
    <row r="65" spans="2:32" x14ac:dyDescent="0.3">
      <c r="B65" t="s">
        <v>80</v>
      </c>
      <c r="I65" s="2">
        <v>17.5</v>
      </c>
      <c r="J65" s="2">
        <v>11.3</v>
      </c>
      <c r="K65" s="2">
        <v>11.2</v>
      </c>
      <c r="L65" s="2">
        <v>0</v>
      </c>
      <c r="M65" s="2">
        <v>0</v>
      </c>
    </row>
    <row r="66" spans="2:32" x14ac:dyDescent="0.3">
      <c r="B66" t="s">
        <v>5</v>
      </c>
      <c r="I66" s="2">
        <v>2.9</v>
      </c>
      <c r="J66" s="2">
        <v>3.3</v>
      </c>
      <c r="K66" s="2">
        <v>10.4</v>
      </c>
      <c r="L66" s="2">
        <v>14.4</v>
      </c>
      <c r="M66" s="2">
        <v>10</v>
      </c>
    </row>
    <row r="67" spans="2:32" x14ac:dyDescent="0.3">
      <c r="B67" t="s">
        <v>74</v>
      </c>
      <c r="I67" s="2">
        <v>1.2</v>
      </c>
      <c r="J67" s="2">
        <v>1.2</v>
      </c>
      <c r="K67" s="2">
        <v>1.3</v>
      </c>
      <c r="L67" s="2">
        <v>1.2</v>
      </c>
      <c r="M67" s="2">
        <v>1.2</v>
      </c>
    </row>
    <row r="68" spans="2:32" x14ac:dyDescent="0.3">
      <c r="B68" t="s">
        <v>25</v>
      </c>
      <c r="I68" s="2">
        <v>0.5</v>
      </c>
      <c r="J68" s="2">
        <v>1.1000000000000001</v>
      </c>
      <c r="K68" s="2">
        <v>7</v>
      </c>
      <c r="L68" s="2">
        <v>2.6</v>
      </c>
      <c r="M68" s="2">
        <v>0.4</v>
      </c>
    </row>
    <row r="69" spans="2:32" s="7" customFormat="1" x14ac:dyDescent="0.3">
      <c r="B69" s="7" t="s">
        <v>81</v>
      </c>
      <c r="I69" s="8">
        <f>SUM(I62:I68)</f>
        <v>35.300000000000004</v>
      </c>
      <c r="J69" s="8">
        <f>SUM(J62:J68)</f>
        <v>29.700000000000003</v>
      </c>
      <c r="K69" s="8">
        <f>SUM(K62:K68)</f>
        <v>42.9</v>
      </c>
      <c r="L69" s="8">
        <f>SUM(L62:L68)</f>
        <v>69.900000000000006</v>
      </c>
      <c r="M69" s="8">
        <f>SUM(M62:M68)</f>
        <v>67.600000000000009</v>
      </c>
    </row>
    <row r="70" spans="2:32" s="7" customFormat="1" x14ac:dyDescent="0.3">
      <c r="B70" s="7" t="s">
        <v>83</v>
      </c>
      <c r="I70" s="8">
        <f>I61+I69</f>
        <v>63.300000000000004</v>
      </c>
      <c r="J70" s="8">
        <f>J61+J69</f>
        <v>55.400000000000006</v>
      </c>
      <c r="K70" s="8">
        <f>K61+K69</f>
        <v>158.4</v>
      </c>
      <c r="L70" s="8">
        <f>L61+L69</f>
        <v>169</v>
      </c>
      <c r="M70" s="8">
        <f>M61+M69</f>
        <v>171.3</v>
      </c>
    </row>
    <row r="71" spans="2:32" s="12" customFormat="1" x14ac:dyDescent="0.3">
      <c r="B71" s="12" t="s">
        <v>82</v>
      </c>
      <c r="I71" s="13">
        <f>I52+I70</f>
        <v>188.6</v>
      </c>
      <c r="J71" s="13">
        <f>J52+J70</f>
        <v>178.60000000000002</v>
      </c>
      <c r="K71" s="13">
        <f>K52+K70</f>
        <v>305.8</v>
      </c>
      <c r="L71" s="13">
        <f>L52+L70</f>
        <v>308.7</v>
      </c>
      <c r="M71" s="13">
        <f>M52+M70</f>
        <v>305</v>
      </c>
    </row>
    <row r="73" spans="2:32" x14ac:dyDescent="0.3">
      <c r="B73" t="s">
        <v>93</v>
      </c>
      <c r="I73" s="17">
        <f t="shared" ref="I73:K73" si="87">(I59+I66)/I52</f>
        <v>0.19473264166001594</v>
      </c>
      <c r="J73" s="17">
        <f t="shared" si="87"/>
        <v>0.18587662337662339</v>
      </c>
      <c r="K73" s="17">
        <f t="shared" si="87"/>
        <v>0.60040705563093621</v>
      </c>
      <c r="L73" s="17">
        <f>(L59+L66)/L52</f>
        <v>0.64566929133858275</v>
      </c>
      <c r="M73" s="17">
        <f t="shared" ref="M73" si="88">(M59+M66)/M52</f>
        <v>0.62154076290201943</v>
      </c>
    </row>
    <row r="78" spans="2:32" x14ac:dyDescent="0.3">
      <c r="B78" s="7" t="s">
        <v>24</v>
      </c>
      <c r="C78" s="7"/>
      <c r="D78" s="7"/>
      <c r="E78" s="8">
        <f t="shared" ref="E78:N78" si="89">E23</f>
        <v>5.5</v>
      </c>
      <c r="F78" s="8">
        <f t="shared" si="89"/>
        <v>6.1000000000000014</v>
      </c>
      <c r="G78" s="8">
        <f t="shared" si="89"/>
        <v>8.3999999999999986</v>
      </c>
      <c r="H78" s="8">
        <f t="shared" si="89"/>
        <v>7.7000000000000011</v>
      </c>
      <c r="I78" s="8">
        <f t="shared" si="89"/>
        <v>9.2000000000000046</v>
      </c>
      <c r="J78" s="8">
        <f t="shared" si="89"/>
        <v>9.0999999999999943</v>
      </c>
      <c r="K78" s="8">
        <f t="shared" si="89"/>
        <v>10.9</v>
      </c>
      <c r="L78" s="8">
        <f t="shared" si="89"/>
        <v>-12.3</v>
      </c>
      <c r="M78" s="8">
        <f t="shared" si="89"/>
        <v>-3.3999999999999968</v>
      </c>
      <c r="N78" s="8">
        <f t="shared" si="89"/>
        <v>9.5625</v>
      </c>
      <c r="O78" s="7"/>
      <c r="P78" s="7"/>
      <c r="Q78" s="7"/>
      <c r="R78" s="7"/>
      <c r="S78" s="8">
        <f t="shared" ref="S78:AF78" si="90">S23</f>
        <v>2.7999999999999972</v>
      </c>
      <c r="T78" s="8">
        <f t="shared" si="90"/>
        <v>20.200000000000017</v>
      </c>
      <c r="U78" s="8">
        <f t="shared" si="90"/>
        <v>34.299999999999997</v>
      </c>
      <c r="V78" s="8">
        <f t="shared" si="90"/>
        <v>4.7624999999999886</v>
      </c>
      <c r="W78" s="8">
        <f t="shared" si="90"/>
        <v>29.850100000000019</v>
      </c>
      <c r="X78" s="8">
        <f t="shared" si="90"/>
        <v>32.431947200000032</v>
      </c>
      <c r="Y78" s="8">
        <f t="shared" si="90"/>
        <v>35.393903408</v>
      </c>
      <c r="Z78" s="8">
        <f t="shared" si="90"/>
        <v>40.253766735199996</v>
      </c>
      <c r="AA78" s="8">
        <f t="shared" si="90"/>
        <v>42.782365876988024</v>
      </c>
      <c r="AB78" s="8">
        <f t="shared" si="90"/>
        <v>44.533721720887684</v>
      </c>
      <c r="AC78" s="8">
        <f t="shared" si="90"/>
        <v>46.812127184016092</v>
      </c>
      <c r="AD78" s="8">
        <f t="shared" si="90"/>
        <v>49.177732687268438</v>
      </c>
      <c r="AE78" s="8">
        <f t="shared" si="90"/>
        <v>51.633531189372945</v>
      </c>
      <c r="AF78" s="8">
        <f t="shared" si="90"/>
        <v>54.182612976970333</v>
      </c>
    </row>
    <row r="79" spans="2:32" x14ac:dyDescent="0.3">
      <c r="B79" t="s">
        <v>22</v>
      </c>
      <c r="E79" s="2">
        <v>-0.6</v>
      </c>
      <c r="F79" s="2">
        <v>2</v>
      </c>
      <c r="G79" s="2">
        <v>-0.5</v>
      </c>
      <c r="H79" s="2">
        <v>0.7</v>
      </c>
      <c r="I79" s="2">
        <v>0.5</v>
      </c>
      <c r="J79" s="2">
        <v>0.9</v>
      </c>
      <c r="K79" s="2">
        <v>-0.9</v>
      </c>
      <c r="L79" s="2">
        <v>-2.1</v>
      </c>
      <c r="M79" s="2">
        <v>2</v>
      </c>
      <c r="N79" s="2">
        <v>-1</v>
      </c>
      <c r="S79" s="2">
        <v>1</v>
      </c>
      <c r="T79" s="2">
        <v>1.6</v>
      </c>
      <c r="U79" s="2">
        <f>SUM(G79:J79)</f>
        <v>1.6</v>
      </c>
      <c r="V79" s="2">
        <f>SUM(K79:N79)</f>
        <v>-2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2:32" x14ac:dyDescent="0.3">
      <c r="B80" t="s">
        <v>25</v>
      </c>
      <c r="E80" s="2">
        <v>0</v>
      </c>
      <c r="F80" s="2">
        <v>-2.1</v>
      </c>
      <c r="G80" s="2">
        <v>0.2</v>
      </c>
      <c r="H80" s="2">
        <v>-1.7</v>
      </c>
      <c r="I80" s="2">
        <v>-0.1</v>
      </c>
      <c r="J80" s="2">
        <v>-0.3</v>
      </c>
      <c r="K80" s="2">
        <v>-0.8</v>
      </c>
      <c r="L80" s="2">
        <v>-5.5</v>
      </c>
      <c r="M80" s="2">
        <v>-2.1</v>
      </c>
      <c r="N80" s="2">
        <f>N24</f>
        <v>0</v>
      </c>
      <c r="S80" s="2">
        <v>-1.4</v>
      </c>
      <c r="T80" s="2">
        <v>-3.8</v>
      </c>
      <c r="U80" s="2">
        <f t="shared" ref="U80:U87" si="91">SUM(G80:J80)</f>
        <v>-1.9000000000000001</v>
      </c>
      <c r="V80" s="2">
        <f t="shared" ref="V80:V87" si="92">SUM(K80:N80)</f>
        <v>-8.4</v>
      </c>
      <c r="W80" s="2">
        <f t="shared" ref="W80:AF80" si="93">-W24</f>
        <v>-4.477515000000003</v>
      </c>
      <c r="X80" s="2">
        <f t="shared" si="93"/>
        <v>-4.8647920800000044</v>
      </c>
      <c r="Y80" s="2">
        <f t="shared" si="93"/>
        <v>-5.3090855112000002</v>
      </c>
      <c r="Z80" s="2">
        <f t="shared" si="93"/>
        <v>-6.0380650102799995</v>
      </c>
      <c r="AA80" s="2">
        <f t="shared" si="93"/>
        <v>-6.4173548815482038</v>
      </c>
      <c r="AB80" s="2">
        <f t="shared" si="93"/>
        <v>-6.680058258133152</v>
      </c>
      <c r="AC80" s="2">
        <f t="shared" si="93"/>
        <v>-7.0218190776024132</v>
      </c>
      <c r="AD80" s="2">
        <f t="shared" si="93"/>
        <v>-7.3766599030902658</v>
      </c>
      <c r="AE80" s="2">
        <f t="shared" si="93"/>
        <v>-7.7450296784059418</v>
      </c>
      <c r="AF80" s="2">
        <f t="shared" si="93"/>
        <v>-8.1273919465455489</v>
      </c>
    </row>
    <row r="81" spans="2:140" x14ac:dyDescent="0.3">
      <c r="B81" t="s">
        <v>56</v>
      </c>
      <c r="E81" s="2">
        <v>0.5</v>
      </c>
      <c r="F81" s="2">
        <v>0.6</v>
      </c>
      <c r="G81" s="2">
        <v>0.6</v>
      </c>
      <c r="H81" s="2">
        <v>1.6</v>
      </c>
      <c r="I81" s="2">
        <v>1.8</v>
      </c>
      <c r="J81" s="2">
        <v>1.8</v>
      </c>
      <c r="K81" s="2">
        <v>3.8</v>
      </c>
      <c r="L81" s="2">
        <v>3.4</v>
      </c>
      <c r="M81" s="2">
        <v>3.6</v>
      </c>
      <c r="N81" s="2">
        <v>4</v>
      </c>
      <c r="S81" s="2">
        <v>7</v>
      </c>
      <c r="T81" s="2">
        <v>2.1</v>
      </c>
      <c r="U81" s="2">
        <f t="shared" si="91"/>
        <v>5.8</v>
      </c>
      <c r="V81" s="2">
        <f t="shared" si="92"/>
        <v>14.799999999999999</v>
      </c>
      <c r="W81" s="2">
        <f>V81*1.03</f>
        <v>15.244</v>
      </c>
      <c r="X81" s="2">
        <f t="shared" ref="X81:AF81" si="94">W81*1.03</f>
        <v>15.701320000000001</v>
      </c>
      <c r="Y81" s="2">
        <f t="shared" si="94"/>
        <v>16.1723596</v>
      </c>
      <c r="Z81" s="2">
        <f t="shared" si="94"/>
        <v>16.657530388000001</v>
      </c>
      <c r="AA81" s="2">
        <f t="shared" si="94"/>
        <v>17.15725629964</v>
      </c>
      <c r="AB81" s="2">
        <f t="shared" si="94"/>
        <v>17.671973988629201</v>
      </c>
      <c r="AC81" s="2">
        <f t="shared" si="94"/>
        <v>18.202133208288078</v>
      </c>
      <c r="AD81" s="2">
        <f t="shared" si="94"/>
        <v>18.748197204536719</v>
      </c>
      <c r="AE81" s="2">
        <f t="shared" si="94"/>
        <v>19.310643120672822</v>
      </c>
      <c r="AF81" s="2">
        <f t="shared" si="94"/>
        <v>19.889962414293006</v>
      </c>
    </row>
    <row r="82" spans="2:140" x14ac:dyDescent="0.3">
      <c r="B82" t="s">
        <v>57</v>
      </c>
      <c r="E82" s="2">
        <v>0.6</v>
      </c>
      <c r="F82" s="2">
        <v>-0.5</v>
      </c>
      <c r="G82" s="2">
        <v>0</v>
      </c>
      <c r="H82" s="2">
        <v>0.7</v>
      </c>
      <c r="I82" s="2">
        <v>0.4</v>
      </c>
      <c r="J82" s="2">
        <v>-0.6</v>
      </c>
      <c r="K82" s="2">
        <v>0.3</v>
      </c>
      <c r="L82" s="2">
        <v>0.1</v>
      </c>
      <c r="M82" s="2">
        <v>-0.1</v>
      </c>
      <c r="N82" s="2">
        <v>0</v>
      </c>
      <c r="S82" s="2">
        <v>0.8</v>
      </c>
      <c r="T82" s="2">
        <v>0.9</v>
      </c>
      <c r="U82" s="2">
        <f t="shared" si="91"/>
        <v>0.50000000000000011</v>
      </c>
      <c r="V82" s="2">
        <f t="shared" si="92"/>
        <v>0.30000000000000004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</row>
    <row r="83" spans="2:140" x14ac:dyDescent="0.3">
      <c r="B83" t="s">
        <v>58</v>
      </c>
      <c r="E83" s="2">
        <v>0.7</v>
      </c>
      <c r="F83" s="2">
        <v>1</v>
      </c>
      <c r="G83" s="2">
        <v>0.8</v>
      </c>
      <c r="H83" s="2">
        <v>2.2000000000000002</v>
      </c>
      <c r="I83" s="2">
        <v>1.2</v>
      </c>
      <c r="J83" s="2">
        <v>1.2</v>
      </c>
      <c r="K83" s="2">
        <v>1.4</v>
      </c>
      <c r="L83" s="2">
        <v>2.2000000000000002</v>
      </c>
      <c r="M83" s="2">
        <v>1.7</v>
      </c>
      <c r="N83" s="2">
        <v>2.4</v>
      </c>
      <c r="S83" s="2">
        <v>3.2</v>
      </c>
      <c r="T83" s="2">
        <v>3.6</v>
      </c>
      <c r="U83" s="2">
        <f t="shared" si="91"/>
        <v>5.4</v>
      </c>
      <c r="V83" s="2">
        <f t="shared" si="92"/>
        <v>7.6999999999999993</v>
      </c>
      <c r="W83" s="2">
        <f>V83*1.03</f>
        <v>7.9309999999999992</v>
      </c>
      <c r="X83" s="2">
        <f t="shared" ref="X83:AF83" si="95">W83*1.03</f>
        <v>8.1689299999999996</v>
      </c>
      <c r="Y83" s="2">
        <f t="shared" si="95"/>
        <v>8.4139979</v>
      </c>
      <c r="Z83" s="2">
        <f t="shared" si="95"/>
        <v>8.6664178370000009</v>
      </c>
      <c r="AA83" s="2">
        <f t="shared" si="95"/>
        <v>8.9264103721100003</v>
      </c>
      <c r="AB83" s="2">
        <f t="shared" si="95"/>
        <v>9.1942026832732999</v>
      </c>
      <c r="AC83" s="2">
        <f t="shared" si="95"/>
        <v>9.4700287637714986</v>
      </c>
      <c r="AD83" s="2">
        <f t="shared" si="95"/>
        <v>9.7541296266846444</v>
      </c>
      <c r="AE83" s="2">
        <f t="shared" si="95"/>
        <v>10.046753515485184</v>
      </c>
      <c r="AF83" s="2">
        <f t="shared" si="95"/>
        <v>10.34815612094974</v>
      </c>
    </row>
    <row r="84" spans="2:140" x14ac:dyDescent="0.3">
      <c r="B84" t="s">
        <v>59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21.2</v>
      </c>
      <c r="M84" s="2">
        <v>7.5</v>
      </c>
      <c r="N84" s="2">
        <v>0</v>
      </c>
      <c r="S84" s="2">
        <v>10.9</v>
      </c>
      <c r="T84" s="2">
        <v>6.9</v>
      </c>
      <c r="U84" s="2">
        <f t="shared" si="91"/>
        <v>0</v>
      </c>
      <c r="V84" s="2">
        <f t="shared" si="92"/>
        <v>28.7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</row>
    <row r="85" spans="2:140" s="7" customFormat="1" x14ac:dyDescent="0.3">
      <c r="B85" t="s">
        <v>60</v>
      </c>
      <c r="C85"/>
      <c r="D85"/>
      <c r="E85" s="2">
        <v>-2.9</v>
      </c>
      <c r="F85" s="2">
        <v>0</v>
      </c>
      <c r="G85" s="2">
        <v>0</v>
      </c>
      <c r="H85" s="2">
        <v>-7.2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/>
      <c r="P85"/>
      <c r="Q85"/>
      <c r="R85"/>
      <c r="S85" s="2">
        <v>-0.8</v>
      </c>
      <c r="T85" s="2">
        <f>-4.6-2.9</f>
        <v>-7.5</v>
      </c>
      <c r="U85" s="2">
        <f t="shared" si="91"/>
        <v>-7.2</v>
      </c>
      <c r="V85" s="2">
        <v>-20</v>
      </c>
      <c r="W85" s="2">
        <f>V85*0.98</f>
        <v>-19.600000000000001</v>
      </c>
      <c r="X85" s="2">
        <f t="shared" ref="X85:AF85" si="96">W85*0.98</f>
        <v>-19.208000000000002</v>
      </c>
      <c r="Y85" s="2">
        <f t="shared" si="96"/>
        <v>-18.823840000000001</v>
      </c>
      <c r="Z85" s="2">
        <f t="shared" si="96"/>
        <v>-18.447363200000002</v>
      </c>
      <c r="AA85" s="2">
        <f t="shared" si="96"/>
        <v>-18.078415936000003</v>
      </c>
      <c r="AB85" s="2">
        <f t="shared" si="96"/>
        <v>-17.716847617280003</v>
      </c>
      <c r="AC85" s="2">
        <f t="shared" si="96"/>
        <v>-17.362510664934401</v>
      </c>
      <c r="AD85" s="2">
        <f t="shared" si="96"/>
        <v>-17.015260451635712</v>
      </c>
      <c r="AE85" s="2">
        <f t="shared" si="96"/>
        <v>-16.674955242602998</v>
      </c>
      <c r="AF85" s="2">
        <f t="shared" si="96"/>
        <v>-16.341456137750939</v>
      </c>
    </row>
    <row r="86" spans="2:140" x14ac:dyDescent="0.3">
      <c r="B86" t="s">
        <v>61</v>
      </c>
      <c r="E86" s="2">
        <v>-5.2</v>
      </c>
      <c r="F86" s="2">
        <v>-3.3</v>
      </c>
      <c r="G86" s="2">
        <v>2.2000000000000002</v>
      </c>
      <c r="H86" s="2">
        <v>-2.2000000000000002</v>
      </c>
      <c r="I86" s="2">
        <v>0.5</v>
      </c>
      <c r="J86" s="2">
        <v>-0.7</v>
      </c>
      <c r="K86" s="2">
        <v>-2.2000000000000002</v>
      </c>
      <c r="L86" s="2">
        <v>1.7</v>
      </c>
      <c r="M86" s="2">
        <v>0.5</v>
      </c>
      <c r="N86" s="2">
        <v>0</v>
      </c>
      <c r="S86" s="2">
        <f>-5.8-0.1</f>
        <v>-5.8999999999999995</v>
      </c>
      <c r="T86" s="2">
        <f>-10.4+0.1</f>
        <v>-10.3</v>
      </c>
      <c r="U86" s="2">
        <f t="shared" si="91"/>
        <v>-0.19999999999999996</v>
      </c>
      <c r="V86" s="2">
        <f t="shared" si="92"/>
        <v>-2.2204460492503131E-16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0</v>
      </c>
      <c r="AD86" s="2">
        <v>0</v>
      </c>
      <c r="AE86" s="2">
        <v>0</v>
      </c>
      <c r="AF86" s="2">
        <v>0</v>
      </c>
    </row>
    <row r="87" spans="2:140" s="7" customFormat="1" x14ac:dyDescent="0.3">
      <c r="B87" t="s">
        <v>62</v>
      </c>
      <c r="C87"/>
      <c r="D87"/>
      <c r="E87" s="2">
        <v>0.9</v>
      </c>
      <c r="F87" s="2">
        <v>3.2</v>
      </c>
      <c r="G87" s="2">
        <v>-3</v>
      </c>
      <c r="H87" s="2">
        <v>-1.2</v>
      </c>
      <c r="I87" s="2">
        <v>1.6</v>
      </c>
      <c r="J87" s="2">
        <v>2.5</v>
      </c>
      <c r="K87" s="2">
        <v>-1.2</v>
      </c>
      <c r="L87" s="2">
        <v>0.7</v>
      </c>
      <c r="M87" s="2">
        <v>1.2</v>
      </c>
      <c r="N87" s="2">
        <v>0</v>
      </c>
      <c r="O87"/>
      <c r="P87"/>
      <c r="Q87"/>
      <c r="R87"/>
      <c r="S87" s="2">
        <v>3.2</v>
      </c>
      <c r="T87" s="2">
        <v>4.2</v>
      </c>
      <c r="U87" s="2">
        <f t="shared" si="91"/>
        <v>-0.10000000000000009</v>
      </c>
      <c r="V87" s="2">
        <f t="shared" si="92"/>
        <v>0.7</v>
      </c>
      <c r="W87" s="2">
        <v>0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0</v>
      </c>
      <c r="AD87" s="2">
        <v>0</v>
      </c>
      <c r="AE87" s="2">
        <v>0</v>
      </c>
      <c r="AF87" s="2">
        <v>0</v>
      </c>
    </row>
    <row r="88" spans="2:140" x14ac:dyDescent="0.3">
      <c r="B88" s="7" t="s">
        <v>63</v>
      </c>
      <c r="C88" s="7"/>
      <c r="D88" s="7"/>
      <c r="E88" s="8">
        <f t="shared" ref="E88:L88" si="97">E78+SUM(E79:E87)</f>
        <v>-0.5</v>
      </c>
      <c r="F88" s="8">
        <f t="shared" si="97"/>
        <v>7.0000000000000018</v>
      </c>
      <c r="G88" s="8">
        <f t="shared" si="97"/>
        <v>8.6999999999999993</v>
      </c>
      <c r="H88" s="8">
        <f t="shared" si="97"/>
        <v>0.60000000000000053</v>
      </c>
      <c r="I88" s="8">
        <f t="shared" si="97"/>
        <v>15.100000000000005</v>
      </c>
      <c r="J88" s="8">
        <f t="shared" si="97"/>
        <v>13.899999999999995</v>
      </c>
      <c r="K88" s="8">
        <f t="shared" si="97"/>
        <v>11.299999999999999</v>
      </c>
      <c r="L88" s="8">
        <f t="shared" si="97"/>
        <v>9.3999999999999986</v>
      </c>
      <c r="M88" s="8">
        <f t="shared" ref="M88:N88" si="98">M78+SUM(M79:M87)</f>
        <v>10.900000000000002</v>
      </c>
      <c r="N88" s="8">
        <f t="shared" si="98"/>
        <v>14.9625</v>
      </c>
      <c r="O88" s="7"/>
      <c r="P88" s="7"/>
      <c r="Q88" s="7"/>
      <c r="R88" s="7"/>
      <c r="S88" s="8">
        <f>S78+SUM(S79:S87)</f>
        <v>20.799999999999997</v>
      </c>
      <c r="T88" s="8">
        <f>T78+SUM(T79:T87)</f>
        <v>17.900000000000016</v>
      </c>
      <c r="U88" s="8">
        <f>U78+SUM(U79:U87)</f>
        <v>38.199999999999996</v>
      </c>
      <c r="V88" s="8">
        <f>V78+SUM(V79:V87)</f>
        <v>26.562499999999982</v>
      </c>
      <c r="W88" s="8">
        <f>W78+SUM(W79:W87)</f>
        <v>28.947585000000011</v>
      </c>
      <c r="X88" s="8">
        <f t="shared" ref="X88:AF88" si="99">X78+SUM(X79:X87)</f>
        <v>32.229405120000024</v>
      </c>
      <c r="Y88" s="8">
        <f t="shared" si="99"/>
        <v>35.847335396800005</v>
      </c>
      <c r="Z88" s="8">
        <f t="shared" si="99"/>
        <v>41.092286749919992</v>
      </c>
      <c r="AA88" s="8">
        <f t="shared" si="99"/>
        <v>44.370261731189814</v>
      </c>
      <c r="AB88" s="8">
        <f t="shared" si="99"/>
        <v>47.002992517377031</v>
      </c>
      <c r="AC88" s="8">
        <f t="shared" si="99"/>
        <v>50.099959413538855</v>
      </c>
      <c r="AD88" s="8">
        <f t="shared" si="99"/>
        <v>53.288139163763823</v>
      </c>
      <c r="AE88" s="8">
        <f t="shared" si="99"/>
        <v>56.570942904522013</v>
      </c>
      <c r="AF88" s="8">
        <f t="shared" si="99"/>
        <v>59.951883427916592</v>
      </c>
    </row>
    <row r="89" spans="2:140" x14ac:dyDescent="0.3">
      <c r="B89" t="s">
        <v>64</v>
      </c>
      <c r="E89" s="2">
        <v>0.1</v>
      </c>
      <c r="F89" s="2">
        <v>0.2</v>
      </c>
      <c r="G89" s="2">
        <v>0.1</v>
      </c>
      <c r="H89" s="2">
        <v>0.8</v>
      </c>
      <c r="I89" s="2">
        <v>0.3</v>
      </c>
      <c r="J89" s="2">
        <v>0.1</v>
      </c>
      <c r="K89" s="2">
        <v>0.3</v>
      </c>
      <c r="L89" s="2">
        <v>0.2</v>
      </c>
      <c r="M89" s="2">
        <v>0.2</v>
      </c>
      <c r="N89" s="2">
        <v>0.5</v>
      </c>
      <c r="R89">
        <v>0.3</v>
      </c>
      <c r="S89" s="2">
        <v>0.3</v>
      </c>
      <c r="T89" s="2">
        <v>0.5</v>
      </c>
      <c r="U89" s="2">
        <f>SUM(G89:J89)</f>
        <v>1.3</v>
      </c>
      <c r="V89" s="2">
        <f>SUM(K89:N89)</f>
        <v>1.2</v>
      </c>
      <c r="W89" s="2">
        <f>V89*1.1</f>
        <v>1.32</v>
      </c>
      <c r="X89" s="2">
        <f t="shared" ref="X89:AF89" si="100">W89*1.1</f>
        <v>1.4520000000000002</v>
      </c>
      <c r="Y89" s="2">
        <f t="shared" si="100"/>
        <v>1.5972000000000004</v>
      </c>
      <c r="Z89" s="2">
        <f t="shared" si="100"/>
        <v>1.7569200000000005</v>
      </c>
      <c r="AA89" s="2">
        <f t="shared" si="100"/>
        <v>1.9326120000000007</v>
      </c>
      <c r="AB89" s="2">
        <f t="shared" si="100"/>
        <v>2.1258732000000009</v>
      </c>
      <c r="AC89" s="2">
        <f t="shared" si="100"/>
        <v>2.3384605200000013</v>
      </c>
      <c r="AD89" s="2">
        <f t="shared" si="100"/>
        <v>2.5723065720000018</v>
      </c>
      <c r="AE89" s="2">
        <f t="shared" si="100"/>
        <v>2.8295372292000023</v>
      </c>
      <c r="AF89" s="2">
        <f t="shared" si="100"/>
        <v>3.1124909521200026</v>
      </c>
    </row>
    <row r="90" spans="2:140" x14ac:dyDescent="0.3">
      <c r="B90" s="7" t="s">
        <v>65</v>
      </c>
      <c r="C90" s="7"/>
      <c r="D90" s="7"/>
      <c r="E90" s="8">
        <f t="shared" ref="E90:L90" si="101">E88-E89</f>
        <v>-0.6</v>
      </c>
      <c r="F90" s="8">
        <f t="shared" si="101"/>
        <v>6.8000000000000016</v>
      </c>
      <c r="G90" s="8">
        <f t="shared" si="101"/>
        <v>8.6</v>
      </c>
      <c r="H90" s="8">
        <f t="shared" si="101"/>
        <v>-0.19999999999999951</v>
      </c>
      <c r="I90" s="8">
        <f t="shared" si="101"/>
        <v>14.800000000000004</v>
      </c>
      <c r="J90" s="8">
        <f t="shared" si="101"/>
        <v>13.799999999999995</v>
      </c>
      <c r="K90" s="8">
        <f t="shared" si="101"/>
        <v>10.999999999999998</v>
      </c>
      <c r="L90" s="8">
        <f t="shared" si="101"/>
        <v>9.1999999999999993</v>
      </c>
      <c r="M90" s="8">
        <f t="shared" ref="M90:N90" si="102">M88-M89</f>
        <v>10.700000000000003</v>
      </c>
      <c r="N90" s="8">
        <f t="shared" si="102"/>
        <v>14.4625</v>
      </c>
      <c r="O90" s="7"/>
      <c r="P90" s="7"/>
      <c r="Q90" s="7"/>
      <c r="R90" s="7"/>
      <c r="S90" s="8">
        <f>S88-S89</f>
        <v>20.499999999999996</v>
      </c>
      <c r="T90" s="8">
        <f>T88-T89</f>
        <v>17.400000000000016</v>
      </c>
      <c r="U90" s="8">
        <f>U88-U89</f>
        <v>36.9</v>
      </c>
      <c r="V90" s="8">
        <f>V88-V89</f>
        <v>25.362499999999983</v>
      </c>
      <c r="W90" s="8">
        <f>W88-W89</f>
        <v>27.62758500000001</v>
      </c>
      <c r="X90" s="8">
        <f t="shared" ref="X90:AF90" si="103">X88-X89</f>
        <v>30.777405120000022</v>
      </c>
      <c r="Y90" s="8">
        <f t="shared" si="103"/>
        <v>34.250135396800005</v>
      </c>
      <c r="Z90" s="8">
        <f t="shared" si="103"/>
        <v>39.335366749919991</v>
      </c>
      <c r="AA90" s="8">
        <f t="shared" si="103"/>
        <v>42.437649731189815</v>
      </c>
      <c r="AB90" s="8">
        <f t="shared" si="103"/>
        <v>44.87711931737703</v>
      </c>
      <c r="AC90" s="8">
        <f t="shared" si="103"/>
        <v>47.761498893538857</v>
      </c>
      <c r="AD90" s="8">
        <f t="shared" si="103"/>
        <v>50.715832591763821</v>
      </c>
      <c r="AE90" s="8">
        <f t="shared" si="103"/>
        <v>53.741405675322014</v>
      </c>
      <c r="AF90" s="8">
        <f t="shared" si="103"/>
        <v>56.839392475796586</v>
      </c>
      <c r="AG90" s="7">
        <f>AF90*(1+$AI$33)</f>
        <v>56.270998551038623</v>
      </c>
      <c r="AH90" s="7">
        <f t="shared" ref="AH90:CS90" si="104">AG90*(1+$AI$33)</f>
        <v>55.708288565528235</v>
      </c>
      <c r="AI90" s="7">
        <f t="shared" si="104"/>
        <v>55.151205679872952</v>
      </c>
      <c r="AJ90" s="7">
        <f t="shared" si="104"/>
        <v>54.599693623074224</v>
      </c>
      <c r="AK90" s="7">
        <f t="shared" si="104"/>
        <v>54.05369668684348</v>
      </c>
      <c r="AL90" s="7">
        <f t="shared" si="104"/>
        <v>53.513159719975043</v>
      </c>
      <c r="AM90" s="7">
        <f t="shared" si="104"/>
        <v>52.978028122775292</v>
      </c>
      <c r="AN90" s="7">
        <f t="shared" si="104"/>
        <v>52.448247841547541</v>
      </c>
      <c r="AO90" s="7">
        <f t="shared" si="104"/>
        <v>51.923765363132063</v>
      </c>
      <c r="AP90" s="7">
        <f t="shared" si="104"/>
        <v>51.404527709500741</v>
      </c>
      <c r="AQ90" s="7">
        <f t="shared" si="104"/>
        <v>50.890482432405733</v>
      </c>
      <c r="AR90" s="7">
        <f t="shared" si="104"/>
        <v>50.381577608081678</v>
      </c>
      <c r="AS90" s="7">
        <f t="shared" si="104"/>
        <v>49.877761832000857</v>
      </c>
      <c r="AT90" s="7">
        <f t="shared" si="104"/>
        <v>49.378984213680845</v>
      </c>
      <c r="AU90" s="7">
        <f t="shared" si="104"/>
        <v>48.885194371544038</v>
      </c>
      <c r="AV90" s="7">
        <f t="shared" si="104"/>
        <v>48.3963424278286</v>
      </c>
      <c r="AW90" s="7">
        <f t="shared" si="104"/>
        <v>47.912379003550313</v>
      </c>
      <c r="AX90" s="7">
        <f t="shared" si="104"/>
        <v>47.433255213514812</v>
      </c>
      <c r="AY90" s="7">
        <f t="shared" si="104"/>
        <v>46.958922661379667</v>
      </c>
      <c r="AZ90" s="7">
        <f t="shared" si="104"/>
        <v>46.489333434765868</v>
      </c>
      <c r="BA90" s="7">
        <f t="shared" si="104"/>
        <v>46.024440100418211</v>
      </c>
      <c r="BB90" s="7">
        <f t="shared" si="104"/>
        <v>45.564195699414029</v>
      </c>
      <c r="BC90" s="7">
        <f t="shared" si="104"/>
        <v>45.108553742419886</v>
      </c>
      <c r="BD90" s="7">
        <f t="shared" si="104"/>
        <v>44.657468204995688</v>
      </c>
      <c r="BE90" s="7">
        <f t="shared" si="104"/>
        <v>44.210893522945732</v>
      </c>
      <c r="BF90" s="7">
        <f t="shared" si="104"/>
        <v>43.768784587716276</v>
      </c>
      <c r="BG90" s="7">
        <f t="shared" si="104"/>
        <v>43.331096741839112</v>
      </c>
      <c r="BH90" s="7">
        <f t="shared" si="104"/>
        <v>42.897785774420718</v>
      </c>
      <c r="BI90" s="7">
        <f t="shared" si="104"/>
        <v>42.468807916676511</v>
      </c>
      <c r="BJ90" s="7">
        <f t="shared" si="104"/>
        <v>42.044119837509747</v>
      </c>
      <c r="BK90" s="7">
        <f t="shared" si="104"/>
        <v>41.623678639134653</v>
      </c>
      <c r="BL90" s="7">
        <f t="shared" si="104"/>
        <v>41.207441852743308</v>
      </c>
      <c r="BM90" s="7">
        <f t="shared" si="104"/>
        <v>40.795367434215876</v>
      </c>
      <c r="BN90" s="7">
        <f t="shared" si="104"/>
        <v>40.387413759873716</v>
      </c>
      <c r="BO90" s="7">
        <f t="shared" si="104"/>
        <v>39.983539622274982</v>
      </c>
      <c r="BP90" s="7">
        <f t="shared" si="104"/>
        <v>39.583704226052234</v>
      </c>
      <c r="BQ90" s="7">
        <f t="shared" si="104"/>
        <v>39.18786718379171</v>
      </c>
      <c r="BR90" s="7">
        <f t="shared" si="104"/>
        <v>38.795988511953794</v>
      </c>
      <c r="BS90" s="7">
        <f t="shared" si="104"/>
        <v>38.408028626834259</v>
      </c>
      <c r="BT90" s="7">
        <f t="shared" si="104"/>
        <v>38.023948340565916</v>
      </c>
      <c r="BU90" s="7">
        <f t="shared" si="104"/>
        <v>37.643708857160256</v>
      </c>
      <c r="BV90" s="7">
        <f t="shared" si="104"/>
        <v>37.26727176858865</v>
      </c>
      <c r="BW90" s="7">
        <f t="shared" si="104"/>
        <v>36.894599050902762</v>
      </c>
      <c r="BX90" s="7">
        <f t="shared" si="104"/>
        <v>36.525653060393736</v>
      </c>
      <c r="BY90" s="7">
        <f t="shared" si="104"/>
        <v>36.1603965297898</v>
      </c>
      <c r="BZ90" s="7">
        <f t="shared" si="104"/>
        <v>35.798792564491904</v>
      </c>
      <c r="CA90" s="7">
        <f t="shared" si="104"/>
        <v>35.440804638846984</v>
      </c>
      <c r="CB90" s="7">
        <f t="shared" si="104"/>
        <v>35.086396592458513</v>
      </c>
      <c r="CC90" s="7">
        <f t="shared" si="104"/>
        <v>34.735532626533924</v>
      </c>
      <c r="CD90" s="7">
        <f t="shared" si="104"/>
        <v>34.388177300268588</v>
      </c>
      <c r="CE90" s="7">
        <f t="shared" si="104"/>
        <v>34.044295527265902</v>
      </c>
      <c r="CF90" s="7">
        <f t="shared" si="104"/>
        <v>33.703852571993245</v>
      </c>
      <c r="CG90" s="7">
        <f t="shared" si="104"/>
        <v>33.366814046273312</v>
      </c>
      <c r="CH90" s="7">
        <f t="shared" si="104"/>
        <v>33.033145905810578</v>
      </c>
      <c r="CI90" s="7">
        <f t="shared" si="104"/>
        <v>32.70281444675247</v>
      </c>
      <c r="CJ90" s="7">
        <f t="shared" si="104"/>
        <v>32.375786302284943</v>
      </c>
      <c r="CK90" s="7">
        <f t="shared" si="104"/>
        <v>32.052028439262095</v>
      </c>
      <c r="CL90" s="7">
        <f t="shared" si="104"/>
        <v>31.731508154869474</v>
      </c>
      <c r="CM90" s="7">
        <f t="shared" si="104"/>
        <v>31.414193073320778</v>
      </c>
      <c r="CN90" s="7">
        <f t="shared" si="104"/>
        <v>31.100051142587571</v>
      </c>
      <c r="CO90" s="7">
        <f t="shared" si="104"/>
        <v>30.789050631161693</v>
      </c>
      <c r="CP90" s="7">
        <f t="shared" si="104"/>
        <v>30.481160124850074</v>
      </c>
      <c r="CQ90" s="7">
        <f t="shared" si="104"/>
        <v>30.176348523601572</v>
      </c>
      <c r="CR90" s="7">
        <f t="shared" si="104"/>
        <v>29.874585038365556</v>
      </c>
      <c r="CS90" s="7">
        <f t="shared" si="104"/>
        <v>29.575839187981899</v>
      </c>
      <c r="CT90" s="7">
        <f t="shared" ref="CT90:EJ90" si="105">CS90*(1+$AI$33)</f>
        <v>29.28008079610208</v>
      </c>
      <c r="CU90" s="7">
        <f t="shared" si="105"/>
        <v>28.987279988141058</v>
      </c>
      <c r="CV90" s="7">
        <f t="shared" si="105"/>
        <v>28.697407188259646</v>
      </c>
      <c r="CW90" s="7">
        <f t="shared" si="105"/>
        <v>28.41043311637705</v>
      </c>
      <c r="CX90" s="7">
        <f t="shared" si="105"/>
        <v>28.126328785213278</v>
      </c>
      <c r="CY90" s="7">
        <f t="shared" si="105"/>
        <v>27.845065497361144</v>
      </c>
      <c r="CZ90" s="7">
        <f t="shared" si="105"/>
        <v>27.566614842387533</v>
      </c>
      <c r="DA90" s="7">
        <f t="shared" si="105"/>
        <v>27.290948693963657</v>
      </c>
      <c r="DB90" s="7">
        <f t="shared" si="105"/>
        <v>27.018039207024021</v>
      </c>
      <c r="DC90" s="7">
        <f t="shared" si="105"/>
        <v>26.74785881495378</v>
      </c>
      <c r="DD90" s="7">
        <f t="shared" si="105"/>
        <v>26.480380226804243</v>
      </c>
      <c r="DE90" s="7">
        <f t="shared" si="105"/>
        <v>26.215576424536202</v>
      </c>
      <c r="DF90" s="7">
        <f t="shared" si="105"/>
        <v>25.953420660290838</v>
      </c>
      <c r="DG90" s="7">
        <f t="shared" si="105"/>
        <v>25.693886453687931</v>
      </c>
      <c r="DH90" s="7">
        <f t="shared" si="105"/>
        <v>25.43694758915105</v>
      </c>
      <c r="DI90" s="7">
        <f t="shared" si="105"/>
        <v>25.182578113259538</v>
      </c>
      <c r="DJ90" s="7">
        <f t="shared" si="105"/>
        <v>24.930752332126943</v>
      </c>
      <c r="DK90" s="7">
        <f t="shared" si="105"/>
        <v>24.681444808805672</v>
      </c>
      <c r="DL90" s="7">
        <f t="shared" si="105"/>
        <v>24.434630360717616</v>
      </c>
      <c r="DM90" s="7">
        <f t="shared" si="105"/>
        <v>24.190284057110439</v>
      </c>
      <c r="DN90" s="7">
        <f t="shared" si="105"/>
        <v>23.948381216539335</v>
      </c>
      <c r="DO90" s="7">
        <f t="shared" si="105"/>
        <v>23.708897404373943</v>
      </c>
      <c r="DP90" s="7">
        <f t="shared" si="105"/>
        <v>23.471808430330203</v>
      </c>
      <c r="DQ90" s="7">
        <f t="shared" si="105"/>
        <v>23.2370903460269</v>
      </c>
      <c r="DR90" s="7">
        <f t="shared" si="105"/>
        <v>23.004719442566632</v>
      </c>
      <c r="DS90" s="7">
        <f t="shared" si="105"/>
        <v>22.774672248140966</v>
      </c>
      <c r="DT90" s="7">
        <f t="shared" si="105"/>
        <v>22.546925525659557</v>
      </c>
      <c r="DU90" s="7">
        <f t="shared" si="105"/>
        <v>22.321456270402962</v>
      </c>
      <c r="DV90" s="7">
        <f t="shared" si="105"/>
        <v>22.098241707698932</v>
      </c>
      <c r="DW90" s="7">
        <f t="shared" si="105"/>
        <v>21.877259290621943</v>
      </c>
      <c r="DX90" s="7">
        <f t="shared" si="105"/>
        <v>21.658486697715723</v>
      </c>
      <c r="DY90" s="7">
        <f t="shared" si="105"/>
        <v>21.441901830738566</v>
      </c>
      <c r="DZ90" s="7">
        <f t="shared" si="105"/>
        <v>21.22748281243118</v>
      </c>
      <c r="EA90" s="7">
        <f t="shared" si="105"/>
        <v>21.015207984306869</v>
      </c>
      <c r="EB90" s="7">
        <f t="shared" si="105"/>
        <v>20.805055904463799</v>
      </c>
      <c r="EC90" s="7">
        <f t="shared" si="105"/>
        <v>20.597005345419163</v>
      </c>
      <c r="ED90" s="7">
        <f t="shared" si="105"/>
        <v>20.391035291964972</v>
      </c>
      <c r="EE90" s="7">
        <f t="shared" si="105"/>
        <v>20.187124939045322</v>
      </c>
      <c r="EF90" s="7">
        <f t="shared" si="105"/>
        <v>19.985253689654868</v>
      </c>
      <c r="EG90" s="7">
        <f t="shared" si="105"/>
        <v>19.785401152758318</v>
      </c>
      <c r="EH90" s="7">
        <f t="shared" si="105"/>
        <v>19.587547141230736</v>
      </c>
      <c r="EI90" s="7">
        <f t="shared" si="105"/>
        <v>19.391671669818429</v>
      </c>
      <c r="EJ90" s="7">
        <f t="shared" si="105"/>
        <v>19.197754953120246</v>
      </c>
    </row>
    <row r="92" spans="2:140" x14ac:dyDescent="0.3">
      <c r="S92" s="9">
        <f>S89/R89-1</f>
        <v>0</v>
      </c>
      <c r="T92" s="9">
        <f t="shared" ref="T92:V92" si="106">T89/S89-1</f>
        <v>0.66666666666666674</v>
      </c>
      <c r="U92" s="9">
        <f t="shared" si="106"/>
        <v>1.6</v>
      </c>
      <c r="V92" s="9">
        <f t="shared" si="106"/>
        <v>-7.6923076923076983E-2</v>
      </c>
      <c r="AH92" t="s">
        <v>49</v>
      </c>
      <c r="AI92" s="2">
        <f>NPV(AI34,V90:EJ90)</f>
        <v>384.27960248445754</v>
      </c>
    </row>
    <row r="93" spans="2:140" x14ac:dyDescent="0.3">
      <c r="AH93" t="s">
        <v>53</v>
      </c>
      <c r="AI93" s="2">
        <f>Main!D8</f>
        <v>-75.699999999999989</v>
      </c>
    </row>
    <row r="94" spans="2:140" x14ac:dyDescent="0.3">
      <c r="AH94" t="s">
        <v>50</v>
      </c>
      <c r="AI94" s="2">
        <f>AI92+AI93</f>
        <v>308.57960248445755</v>
      </c>
    </row>
    <row r="95" spans="2:140" x14ac:dyDescent="0.3">
      <c r="AH95" t="s">
        <v>51</v>
      </c>
      <c r="AI95" s="1">
        <f>AI94/AF26</f>
        <v>8.6679663619229643</v>
      </c>
    </row>
    <row r="96" spans="2:140" x14ac:dyDescent="0.3">
      <c r="AH96" t="s">
        <v>52</v>
      </c>
      <c r="AI96" s="1">
        <f>Main!D3</f>
        <v>5.1100000000000003</v>
      </c>
    </row>
    <row r="97" spans="34:35" x14ac:dyDescent="0.3">
      <c r="AH97" s="7" t="s">
        <v>54</v>
      </c>
      <c r="AI97" s="10">
        <f>AI95/AI96-1</f>
        <v>0.69627521759744893</v>
      </c>
    </row>
    <row r="98" spans="34:35" x14ac:dyDescent="0.3">
      <c r="AI98" s="5" t="s">
        <v>92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2025-03-27T08:46:41Z</dcterms:created>
  <dcterms:modified xsi:type="dcterms:W3CDTF">2025-12-12T11:02:42Z</dcterms:modified>
</cp:coreProperties>
</file>