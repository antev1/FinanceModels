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E5C5B38E-18EF-4831-BAF9-1615BAF46C06}" xr6:coauthVersionLast="47" xr6:coauthVersionMax="47" xr10:uidLastSave="{00000000-0000-0000-0000-000000000000}"/>
  <bookViews>
    <workbookView xWindow="-108" yWindow="-108" windowWidth="23256" windowHeight="12576" activeTab="1" xr2:uid="{D6459E68-7D6A-410F-A9B8-1584227EFFA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8" i="2" l="1"/>
  <c r="AB8" i="2"/>
  <c r="AH7" i="2"/>
  <c r="AI7" i="2" s="1"/>
  <c r="AJ7" i="2" s="1"/>
  <c r="AG7" i="2"/>
  <c r="AF7" i="2"/>
  <c r="AE7" i="2"/>
  <c r="AB7" i="2"/>
  <c r="AA7" i="2"/>
  <c r="AB6" i="2"/>
  <c r="AA6" i="2"/>
  <c r="AI3" i="2"/>
  <c r="AJ3" i="2" s="1"/>
  <c r="AH3" i="2"/>
  <c r="AG3" i="2"/>
  <c r="AF3" i="2"/>
  <c r="Z17" i="2"/>
  <c r="Z14" i="2"/>
  <c r="Z13" i="2"/>
  <c r="Z12" i="2"/>
  <c r="Z11" i="2"/>
  <c r="Z8" i="2"/>
  <c r="Z26" i="2" s="1"/>
  <c r="Z7" i="2"/>
  <c r="Z6" i="2"/>
  <c r="Z4" i="2"/>
  <c r="Z3" i="2"/>
  <c r="R20" i="2"/>
  <c r="R19" i="2"/>
  <c r="Q19" i="2"/>
  <c r="R18" i="2"/>
  <c r="Q18" i="2"/>
  <c r="Q20" i="2" s="1"/>
  <c r="R15" i="2"/>
  <c r="R16" i="2" s="1"/>
  <c r="R28" i="2" s="1"/>
  <c r="Q15" i="2"/>
  <c r="Q16" i="2" s="1"/>
  <c r="Q28" i="2" s="1"/>
  <c r="Q10" i="2"/>
  <c r="R9" i="2"/>
  <c r="R10" i="2" s="1"/>
  <c r="Q9" i="2"/>
  <c r="R8" i="2"/>
  <c r="R26" i="2" s="1"/>
  <c r="Q8" i="2"/>
  <c r="Q26" i="2" s="1"/>
  <c r="R5" i="2"/>
  <c r="R4" i="2" s="1"/>
  <c r="Q5" i="2"/>
  <c r="Q4" i="2" s="1"/>
  <c r="R3" i="2"/>
  <c r="R29" i="2" s="1"/>
  <c r="Q3" i="2"/>
  <c r="Q27" i="2" s="1"/>
  <c r="R25" i="2"/>
  <c r="Q25" i="2"/>
  <c r="AJ19" i="2"/>
  <c r="AI19" i="2"/>
  <c r="AH19" i="2"/>
  <c r="AG19" i="2"/>
  <c r="AF19" i="2"/>
  <c r="AE19" i="2"/>
  <c r="AD19" i="2"/>
  <c r="AC19" i="2"/>
  <c r="AB19" i="2"/>
  <c r="AA19" i="2"/>
  <c r="Z19" i="2"/>
  <c r="P19" i="2"/>
  <c r="P26" i="2"/>
  <c r="P25" i="2"/>
  <c r="P24" i="2"/>
  <c r="P23" i="2"/>
  <c r="P22" i="2"/>
  <c r="P15" i="2"/>
  <c r="P9" i="2"/>
  <c r="P5" i="2"/>
  <c r="D7" i="1"/>
  <c r="D8" i="1"/>
  <c r="AM27" i="2" s="1"/>
  <c r="D6" i="1"/>
  <c r="D4" i="1"/>
  <c r="M29" i="2"/>
  <c r="L29" i="2"/>
  <c r="K29" i="2"/>
  <c r="J29" i="2"/>
  <c r="I29" i="2"/>
  <c r="H29" i="2"/>
  <c r="M28" i="2"/>
  <c r="L28" i="2"/>
  <c r="K28" i="2"/>
  <c r="J28" i="2"/>
  <c r="I28" i="2"/>
  <c r="H28" i="2"/>
  <c r="M27" i="2"/>
  <c r="L27" i="2"/>
  <c r="K27" i="2"/>
  <c r="J27" i="2"/>
  <c r="I27" i="2"/>
  <c r="H27" i="2"/>
  <c r="M26" i="2"/>
  <c r="L26" i="2"/>
  <c r="M25" i="2"/>
  <c r="L25" i="2"/>
  <c r="M24" i="2"/>
  <c r="L24" i="2"/>
  <c r="K24" i="2"/>
  <c r="J24" i="2"/>
  <c r="I24" i="2"/>
  <c r="H24" i="2"/>
  <c r="M23" i="2"/>
  <c r="L23" i="2"/>
  <c r="K23" i="2"/>
  <c r="J23" i="2"/>
  <c r="I23" i="2"/>
  <c r="H23" i="2"/>
  <c r="M22" i="2"/>
  <c r="L22" i="2"/>
  <c r="H15" i="2"/>
  <c r="H9" i="2"/>
  <c r="H5" i="2"/>
  <c r="L15" i="2"/>
  <c r="L9" i="2"/>
  <c r="L5" i="2"/>
  <c r="I15" i="2"/>
  <c r="I9" i="2"/>
  <c r="I5" i="2"/>
  <c r="M15" i="2"/>
  <c r="M9" i="2"/>
  <c r="M5" i="2"/>
  <c r="AM30" i="2"/>
  <c r="K15" i="2"/>
  <c r="K9" i="2"/>
  <c r="K5" i="2"/>
  <c r="O28" i="2"/>
  <c r="O27" i="2"/>
  <c r="O26" i="2"/>
  <c r="O25" i="2"/>
  <c r="O24" i="2"/>
  <c r="O23" i="2"/>
  <c r="O22" i="2"/>
  <c r="O19" i="2"/>
  <c r="O15" i="2"/>
  <c r="O9" i="2"/>
  <c r="O5" i="2"/>
  <c r="D5" i="1"/>
  <c r="AA14" i="2"/>
  <c r="AB14" i="2" s="1"/>
  <c r="AC14" i="2" s="1"/>
  <c r="AD14" i="2" s="1"/>
  <c r="AE14" i="2" s="1"/>
  <c r="AF14" i="2" s="1"/>
  <c r="AG14" i="2" s="1"/>
  <c r="AH14" i="2" s="1"/>
  <c r="AI14" i="2" s="1"/>
  <c r="AJ14" i="2" s="1"/>
  <c r="AA13" i="2"/>
  <c r="AB13" i="2" s="1"/>
  <c r="AC13" i="2" s="1"/>
  <c r="AD13" i="2" s="1"/>
  <c r="AE13" i="2" s="1"/>
  <c r="AF13" i="2" s="1"/>
  <c r="AG13" i="2" s="1"/>
  <c r="AH13" i="2" s="1"/>
  <c r="AI13" i="2" s="1"/>
  <c r="AJ13" i="2" s="1"/>
  <c r="AA11" i="2"/>
  <c r="Y26" i="2"/>
  <c r="X26" i="2"/>
  <c r="W26" i="2"/>
  <c r="V26" i="2"/>
  <c r="U26" i="2"/>
  <c r="Y25" i="2"/>
  <c r="X25" i="2"/>
  <c r="W25" i="2"/>
  <c r="V25" i="2"/>
  <c r="U25" i="2"/>
  <c r="Y22" i="2"/>
  <c r="X22" i="2"/>
  <c r="W22" i="2"/>
  <c r="V22" i="2"/>
  <c r="U22" i="2"/>
  <c r="Y24" i="2"/>
  <c r="X24" i="2"/>
  <c r="W24" i="2"/>
  <c r="V24" i="2"/>
  <c r="U24" i="2"/>
  <c r="T24" i="2"/>
  <c r="W23" i="2"/>
  <c r="T15" i="2"/>
  <c r="T9" i="2"/>
  <c r="T5" i="2"/>
  <c r="T23" i="2" s="1"/>
  <c r="U15" i="2"/>
  <c r="U9" i="2"/>
  <c r="U5" i="2"/>
  <c r="U23" i="2" s="1"/>
  <c r="V15" i="2"/>
  <c r="V9" i="2"/>
  <c r="V5" i="2"/>
  <c r="V23" i="2" s="1"/>
  <c r="N26" i="2"/>
  <c r="N25" i="2"/>
  <c r="N24" i="2"/>
  <c r="N23" i="2"/>
  <c r="N22" i="2"/>
  <c r="J15" i="2"/>
  <c r="J9" i="2"/>
  <c r="J5" i="2"/>
  <c r="N15" i="2"/>
  <c r="N9" i="2"/>
  <c r="N5" i="2"/>
  <c r="W15" i="2"/>
  <c r="W9" i="2"/>
  <c r="W5" i="2"/>
  <c r="X15" i="2"/>
  <c r="X9" i="2"/>
  <c r="X5" i="2"/>
  <c r="X23" i="2" s="1"/>
  <c r="Y15" i="2"/>
  <c r="Y9" i="2"/>
  <c r="Y10" i="2" s="1"/>
  <c r="Y16" i="2" s="1"/>
  <c r="Y5" i="2"/>
  <c r="Y23" i="2" s="1"/>
  <c r="F3" i="1"/>
  <c r="Q24" i="2" l="1"/>
  <c r="Z24" i="2"/>
  <c r="Z9" i="2"/>
  <c r="AA3" i="2"/>
  <c r="AA22" i="2" s="1"/>
  <c r="Z22" i="2"/>
  <c r="Q22" i="2"/>
  <c r="Q23" i="2"/>
  <c r="Q29" i="2"/>
  <c r="R27" i="2"/>
  <c r="R22" i="2"/>
  <c r="R23" i="2"/>
  <c r="R24" i="2"/>
  <c r="P10" i="2"/>
  <c r="P27" i="2" s="1"/>
  <c r="H10" i="2"/>
  <c r="H16" i="2" s="1"/>
  <c r="H18" i="2" s="1"/>
  <c r="H20" i="2" s="1"/>
  <c r="L10" i="2"/>
  <c r="L16" i="2" s="1"/>
  <c r="L18" i="2" s="1"/>
  <c r="L20" i="2" s="1"/>
  <c r="I10" i="2"/>
  <c r="I16" i="2" s="1"/>
  <c r="I18" i="2" s="1"/>
  <c r="I20" i="2" s="1"/>
  <c r="M10" i="2"/>
  <c r="M16" i="2" s="1"/>
  <c r="M18" i="2" s="1"/>
  <c r="M20" i="2" s="1"/>
  <c r="AC7" i="2"/>
  <c r="AD7" i="2" s="1"/>
  <c r="K10" i="2"/>
  <c r="K16" i="2" s="1"/>
  <c r="K18" i="2" s="1"/>
  <c r="K20" i="2" s="1"/>
  <c r="O10" i="2"/>
  <c r="O16" i="2" s="1"/>
  <c r="O18" i="2" s="1"/>
  <c r="D9" i="1"/>
  <c r="AB11" i="2"/>
  <c r="AA15" i="2"/>
  <c r="Z15" i="2"/>
  <c r="AA8" i="2"/>
  <c r="Y18" i="2"/>
  <c r="Y28" i="2"/>
  <c r="Y27" i="2"/>
  <c r="AD8" i="2"/>
  <c r="AE8" i="2" s="1"/>
  <c r="AF8" i="2" s="1"/>
  <c r="AG8" i="2" s="1"/>
  <c r="AH8" i="2" s="1"/>
  <c r="AI8" i="2" s="1"/>
  <c r="AJ8" i="2" s="1"/>
  <c r="AA26" i="2"/>
  <c r="AB26" i="2"/>
  <c r="AB25" i="2"/>
  <c r="AA25" i="2"/>
  <c r="Z25" i="2"/>
  <c r="T10" i="2"/>
  <c r="U10" i="2"/>
  <c r="V10" i="2"/>
  <c r="J10" i="2"/>
  <c r="N10" i="2"/>
  <c r="W10" i="2"/>
  <c r="X10" i="2"/>
  <c r="AA24" i="2" l="1"/>
  <c r="AA5" i="2"/>
  <c r="AB3" i="2"/>
  <c r="P16" i="2"/>
  <c r="P28" i="2" s="1"/>
  <c r="O20" i="2"/>
  <c r="O29" i="2"/>
  <c r="W16" i="2"/>
  <c r="W27" i="2"/>
  <c r="N16" i="2"/>
  <c r="N27" i="2"/>
  <c r="X16" i="2"/>
  <c r="X27" i="2"/>
  <c r="J16" i="2"/>
  <c r="U16" i="2"/>
  <c r="U27" i="2"/>
  <c r="AC11" i="2"/>
  <c r="AB15" i="2"/>
  <c r="T16" i="2"/>
  <c r="T27" i="2"/>
  <c r="V16" i="2"/>
  <c r="V27" i="2"/>
  <c r="AA9" i="2"/>
  <c r="AA10" i="2" s="1"/>
  <c r="Y20" i="2"/>
  <c r="Y29" i="2"/>
  <c r="AC26" i="2"/>
  <c r="AC25" i="2"/>
  <c r="AA4" i="2" l="1"/>
  <c r="AA23" i="2"/>
  <c r="AB22" i="2"/>
  <c r="AB5" i="2"/>
  <c r="AC3" i="2"/>
  <c r="P18" i="2"/>
  <c r="P29" i="2" s="1"/>
  <c r="J18" i="2"/>
  <c r="T18" i="2"/>
  <c r="T28" i="2"/>
  <c r="AA16" i="2"/>
  <c r="AA17" i="2" s="1"/>
  <c r="AA27" i="2"/>
  <c r="U18" i="2"/>
  <c r="U28" i="2"/>
  <c r="X18" i="2"/>
  <c r="X28" i="2"/>
  <c r="AD11" i="2"/>
  <c r="AC15" i="2"/>
  <c r="N18" i="2"/>
  <c r="N28" i="2"/>
  <c r="V18" i="2"/>
  <c r="V28" i="2"/>
  <c r="W18" i="2"/>
  <c r="W28" i="2"/>
  <c r="AD26" i="2"/>
  <c r="AD25" i="2"/>
  <c r="AC22" i="2" l="1"/>
  <c r="AC6" i="2"/>
  <c r="AC5" i="2"/>
  <c r="AD3" i="2"/>
  <c r="AB24" i="2"/>
  <c r="AB9" i="2"/>
  <c r="AB10" i="2" s="1"/>
  <c r="AB4" i="2"/>
  <c r="AB23" i="2"/>
  <c r="P20" i="2"/>
  <c r="N20" i="2"/>
  <c r="N29" i="2"/>
  <c r="W20" i="2"/>
  <c r="W29" i="2"/>
  <c r="AE11" i="2"/>
  <c r="AD15" i="2"/>
  <c r="X20" i="2"/>
  <c r="X29" i="2"/>
  <c r="V20" i="2"/>
  <c r="V29" i="2"/>
  <c r="AA18" i="2"/>
  <c r="AA28" i="2"/>
  <c r="J20" i="2"/>
  <c r="U20" i="2"/>
  <c r="U29" i="2"/>
  <c r="T20" i="2"/>
  <c r="T29" i="2"/>
  <c r="AE26" i="2"/>
  <c r="AE25" i="2"/>
  <c r="AB27" i="2" l="1"/>
  <c r="AB16" i="2"/>
  <c r="AB17" i="2" s="1"/>
  <c r="AB18" i="2" s="1"/>
  <c r="AB29" i="2" s="1"/>
  <c r="AE3" i="2"/>
  <c r="AD6" i="2"/>
  <c r="AD22" i="2"/>
  <c r="AD5" i="2"/>
  <c r="AC23" i="2"/>
  <c r="AC4" i="2"/>
  <c r="AC9" i="2"/>
  <c r="AC10" i="2" s="1"/>
  <c r="AC24" i="2"/>
  <c r="AF11" i="2"/>
  <c r="AE15" i="2"/>
  <c r="AA20" i="2"/>
  <c r="AA29" i="2"/>
  <c r="AF26" i="2"/>
  <c r="AF25" i="2"/>
  <c r="AB28" i="2" l="1"/>
  <c r="AB20" i="2"/>
  <c r="AD23" i="2"/>
  <c r="AD4" i="2"/>
  <c r="AD9" i="2"/>
  <c r="AD10" i="2" s="1"/>
  <c r="AD24" i="2"/>
  <c r="AE22" i="2"/>
  <c r="AE5" i="2"/>
  <c r="AE6" i="2"/>
  <c r="AC16" i="2"/>
  <c r="AC17" i="2" s="1"/>
  <c r="AC18" i="2" s="1"/>
  <c r="AC20" i="2" s="1"/>
  <c r="AC27" i="2"/>
  <c r="AG11" i="2"/>
  <c r="AF15" i="2"/>
  <c r="AG26" i="2"/>
  <c r="AG25" i="2"/>
  <c r="AC28" i="2" l="1"/>
  <c r="AC29" i="2"/>
  <c r="AF22" i="2"/>
  <c r="AF5" i="2"/>
  <c r="AF23" i="2" s="1"/>
  <c r="AF6" i="2"/>
  <c r="AE24" i="2"/>
  <c r="AE9" i="2"/>
  <c r="AE10" i="2" s="1"/>
  <c r="AD27" i="2"/>
  <c r="AD16" i="2"/>
  <c r="AD17" i="2" s="1"/>
  <c r="AE4" i="2"/>
  <c r="AE23" i="2"/>
  <c r="AH11" i="2"/>
  <c r="AG15" i="2"/>
  <c r="AH26" i="2"/>
  <c r="AH25" i="2"/>
  <c r="AF9" i="2" l="1"/>
  <c r="AF10" i="2" s="1"/>
  <c r="AF24" i="2"/>
  <c r="AG5" i="2"/>
  <c r="AG23" i="2" s="1"/>
  <c r="AG22" i="2"/>
  <c r="AG6" i="2"/>
  <c r="AD18" i="2"/>
  <c r="AD28" i="2"/>
  <c r="AE16" i="2"/>
  <c r="AE17" i="2" s="1"/>
  <c r="AE28" i="2" s="1"/>
  <c r="AE27" i="2"/>
  <c r="AF4" i="2"/>
  <c r="AI11" i="2"/>
  <c r="AH15" i="2"/>
  <c r="AJ26" i="2"/>
  <c r="AI26" i="2"/>
  <c r="AJ25" i="2"/>
  <c r="AI25" i="2"/>
  <c r="AD29" i="2" l="1"/>
  <c r="AD20" i="2"/>
  <c r="AH5" i="2"/>
  <c r="AH23" i="2" s="1"/>
  <c r="AH4" i="2"/>
  <c r="AH6" i="2"/>
  <c r="AH22" i="2"/>
  <c r="AG24" i="2"/>
  <c r="AG9" i="2"/>
  <c r="AG10" i="2" s="1"/>
  <c r="AE18" i="2"/>
  <c r="AE20" i="2" s="1"/>
  <c r="AF27" i="2"/>
  <c r="AF16" i="2"/>
  <c r="AF17" i="2" s="1"/>
  <c r="AF18" i="2" s="1"/>
  <c r="AF29" i="2" s="1"/>
  <c r="AG4" i="2"/>
  <c r="AJ11" i="2"/>
  <c r="AJ15" i="2" s="1"/>
  <c r="AI15" i="2"/>
  <c r="AF20" i="2" l="1"/>
  <c r="AI6" i="2"/>
  <c r="AI5" i="2"/>
  <c r="AI22" i="2"/>
  <c r="AH24" i="2"/>
  <c r="AH9" i="2"/>
  <c r="AH10" i="2" s="1"/>
  <c r="AG27" i="2"/>
  <c r="AG16" i="2"/>
  <c r="AG17" i="2" s="1"/>
  <c r="AE29" i="2"/>
  <c r="AF28" i="2"/>
  <c r="AH27" i="2" l="1"/>
  <c r="AH16" i="2"/>
  <c r="AG18" i="2"/>
  <c r="AG28" i="2"/>
  <c r="AI23" i="2"/>
  <c r="AI4" i="2"/>
  <c r="AI24" i="2"/>
  <c r="AI9" i="2"/>
  <c r="AI10" i="2" s="1"/>
  <c r="AJ6" i="2"/>
  <c r="AJ5" i="2"/>
  <c r="AJ22" i="2"/>
  <c r="AJ24" i="2" l="1"/>
  <c r="AJ9" i="2"/>
  <c r="AJ10" i="2" s="1"/>
  <c r="AH17" i="2"/>
  <c r="AH28" i="2" s="1"/>
  <c r="AI16" i="2"/>
  <c r="AI27" i="2"/>
  <c r="AJ4" i="2"/>
  <c r="AJ23" i="2"/>
  <c r="AG20" i="2"/>
  <c r="AG29" i="2"/>
  <c r="AH18" i="2" l="1"/>
  <c r="AH29" i="2" s="1"/>
  <c r="AI17" i="2"/>
  <c r="AI28" i="2" s="1"/>
  <c r="AJ27" i="2"/>
  <c r="AJ16" i="2"/>
  <c r="AJ17" i="2" s="1"/>
  <c r="AJ18" i="2" s="1"/>
  <c r="AJ29" i="2" s="1"/>
  <c r="AH20" i="2" l="1"/>
  <c r="AI18" i="2"/>
  <c r="AI20" i="2" s="1"/>
  <c r="AK18" i="2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AJ28" i="2"/>
  <c r="AJ20" i="2"/>
  <c r="AI29" i="2" l="1"/>
  <c r="Z5" i="2" l="1"/>
  <c r="Z23" i="2" s="1"/>
  <c r="Z10" i="2"/>
  <c r="Z16" i="2" s="1"/>
  <c r="Z28" i="2" l="1"/>
  <c r="Z18" i="2"/>
  <c r="Z27" i="2"/>
  <c r="AM26" i="2" l="1"/>
  <c r="AM28" i="2" s="1"/>
  <c r="AM29" i="2" s="1"/>
  <c r="AM31" i="2" s="1"/>
  <c r="Z29" i="2"/>
  <c r="Z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 Mniszek</author>
  </authors>
  <commentList>
    <comment ref="Z3" authorId="0" shapeId="0" xr:uid="{777C2709-88CF-4872-8B59-CCCAE5ACE6D0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175 mill FY guidance</t>
        </r>
      </text>
    </comment>
  </commentList>
</comments>
</file>

<file path=xl/sharedStrings.xml><?xml version="1.0" encoding="utf-8"?>
<sst xmlns="http://schemas.openxmlformats.org/spreadsheetml/2006/main" count="66" uniqueCount="61">
  <si>
    <t>GAMB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</si>
  <si>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</si>
  <si>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</si>
  <si>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</si>
  <si>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</si>
  <si>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</si>
  <si>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</si>
  <si>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</si>
  <si>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</si>
  <si>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</si>
  <si>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</si>
  <si>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Revenue</t>
  </si>
  <si>
    <t>Cost of sales</t>
  </si>
  <si>
    <t>Gross profit</t>
  </si>
  <si>
    <t>S&amp;M</t>
  </si>
  <si>
    <t>R&amp;D</t>
  </si>
  <si>
    <t>G&amp;A</t>
  </si>
  <si>
    <t>Operating profit</t>
  </si>
  <si>
    <t>Total operating expenses</t>
  </si>
  <si>
    <t>Debt expense</t>
  </si>
  <si>
    <t>Fair value expense</t>
  </si>
  <si>
    <t>Finance income</t>
  </si>
  <si>
    <t>Finance expense</t>
  </si>
  <si>
    <t>Net finance expense</t>
  </si>
  <si>
    <t>Pretax profit</t>
  </si>
  <si>
    <t>Taxes</t>
  </si>
  <si>
    <t>Net profit</t>
  </si>
  <si>
    <t>EPS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</si>
  <si>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</si>
  <si>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</si>
  <si>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</si>
  <si>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</si>
  <si>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</si>
  <si>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</si>
  <si>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</si>
  <si>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</si>
  <si>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</si>
  <si>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</si>
  <si>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</si>
  <si>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</si>
  <si>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</si>
  <si>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</si>
  <si>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</si>
  <si>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</si>
  <si>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Revenue y/y</t>
  </si>
  <si>
    <t>Gross Margin</t>
  </si>
  <si>
    <t>S&amp;M Margin</t>
  </si>
  <si>
    <t>R&amp;D y/y</t>
  </si>
  <si>
    <t>G&amp;A y/y</t>
  </si>
  <si>
    <t>Operating Margin</t>
  </si>
  <si>
    <t>Net Margin</t>
  </si>
  <si>
    <t>Maturity</t>
  </si>
  <si>
    <t>Discount rate</t>
  </si>
  <si>
    <t>NPV</t>
  </si>
  <si>
    <t>Value</t>
  </si>
  <si>
    <t>Per share</t>
  </si>
  <si>
    <t>Current price</t>
  </si>
  <si>
    <t>Net cash</t>
  </si>
  <si>
    <t>Variance</t>
  </si>
  <si>
    <t>Consensus</t>
  </si>
  <si>
    <t>Heavily undervalued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</si>
</sst>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3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0" fontId="1" fillId="0" borderId="0" xfId="0" applyFon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15240</xdr:colOff>
      <xdr:row>0</xdr:row>
      <xdr:rowOff>7620</xdr:rowOff>
    </xdr:from>
    <xdr:to>
      <xdr:col>25</xdr:col>
      <xdr:colOff>15240</xdr:colOff>
      <xdr:row>33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0B2AB9E-DD42-6415-C9E4-F63B187D93FE}"/>
            </a:ext>
          </a:extLst>
        </xdr:cNvPr>
        <xdr:cNvCxnSpPr/>
      </xdr:nvCxnSpPr>
      <xdr:spPr>
        <a:xfrm>
          <a:off x="1613154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</xdr:colOff>
      <xdr:row>0</xdr:row>
      <xdr:rowOff>7620</xdr:rowOff>
    </xdr:from>
    <xdr:to>
      <xdr:col>15</xdr:col>
      <xdr:colOff>22860</xdr:colOff>
      <xdr:row>33</xdr:row>
      <xdr:rowOff>106680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F1B35D1-099F-1556-358B-853D4DA27A87}"/>
            </a:ext>
          </a:extLst>
        </xdr:cNvPr>
        <xdr:cNvCxnSpPr/>
      </xdr:nvCxnSpPr>
      <xdr:spPr>
        <a:xfrm>
          <a:off x="1004316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6E28-0C73-4DD0-9BF9-EE6D3C158FE9}">
  <dimension ref="B2:G9"/>
  <sheetViews>
    <sheetView workbookViewId="0">
      <selection activeCell="D4" sqref="D4"/>
    </sheetView>
  </sheetViews>
  <sheetFormatPr defaultRowHeight="14.4" x14ac:dyDescent="0.3"/>
  <cols>
    <col min="5" max="7" width="13.77734375" style="3" customWidth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7" t="s">
        <v>0</v>
      </c>
      <c r="C3" t="s">
        <v>1</v>
      </c>
      <c r="D3" s="1">
        <v>8.02</v>
      </c>
      <c r="E3" s="4">
        <v>45910</v>
      </c>
      <c r="F3" s="4">
        <f ca="1">TODAY()</f>
        <v>45910</v>
      </c>
      <c r="G3" s="4">
        <v>45974</v>
      </c>
    </row>
    <row r="4" spans="2:7" x14ac:dyDescent="0.3">
      <c r="C4" t="s">
        <v>2</v>
      </c>
      <c r="D4" s="2">
        <f>35.7</f>
        <v>35.700000000000003</v>
      </c>
      <c r="E4" s="3" t="s">
        <v>41</v>
      </c>
    </row>
    <row r="5" spans="2:7" x14ac:dyDescent="0.3">
      <c r="C5" t="s">
        <v>3</v>
      </c>
      <c r="D5" s="2">
        <f>D3*D4</f>
        <v>286.31400000000002</v>
      </c>
    </row>
    <row r="6" spans="2:7" x14ac:dyDescent="0.3">
      <c r="C6" t="s">
        <v>4</v>
      </c>
      <c r="D6" s="2">
        <f>18.7</f>
        <v>18.7</v>
      </c>
      <c r="E6" s="3" t="s">
        <v>41</v>
      </c>
    </row>
    <row r="7" spans="2:7" x14ac:dyDescent="0.3">
      <c r="C7" t="s">
        <v>5</v>
      </c>
      <c r="D7" s="2">
        <f>14.4+75.8</f>
        <v>90.2</v>
      </c>
      <c r="E7" s="3" t="s">
        <v>41</v>
      </c>
    </row>
    <row r="8" spans="2:7" x14ac:dyDescent="0.3">
      <c r="C8" t="s">
        <v>6</v>
      </c>
      <c r="D8" s="2">
        <f>D6-D7</f>
        <v>-71.5</v>
      </c>
    </row>
    <row r="9" spans="2:7" x14ac:dyDescent="0.3">
      <c r="C9" t="s">
        <v>7</v>
      </c>
      <c r="D9" s="2">
        <f>D5-D8</f>
        <v>357.81400000000002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3BE1-3816-4557-867E-C0ACDC26617E}">
  <dimension ref="B2:EL32"/>
  <sheetViews>
    <sheetView tabSelected="1" workbookViewId="0">
      <pane xSplit="2" ySplit="2" topLeftCell="X7" activePane="bottomRight" state="frozen"/>
      <selection pane="topRight" activeCell="C1" sqref="C1"/>
      <selection pane="bottomLeft" activeCell="A3" sqref="A3"/>
      <selection pane="bottomRight" activeCell="AM32" sqref="AM32"/>
    </sheetView>
  </sheetViews>
  <sheetFormatPr defaultRowHeight="14.4" x14ac:dyDescent="0.3"/>
  <cols>
    <col min="2" max="2" width="21.6640625" bestFit="1" customWidth="1"/>
    <col min="38" max="38" width="12" bestFit="1" customWidth="1"/>
    <col min="39" max="39" width="17.5546875" bestFit="1" customWidth="1"/>
  </cols>
  <sheetData>
    <row r="2" spans="2:36" x14ac:dyDescent="0.3"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  <c r="J2" s="5" t="s">
        <v>35</v>
      </c>
      <c r="K2" s="5" t="s">
        <v>36</v>
      </c>
      <c r="L2" s="5" t="s">
        <v>37</v>
      </c>
      <c r="M2" s="5" t="s">
        <v>38</v>
      </c>
      <c r="N2" s="5" t="s">
        <v>39</v>
      </c>
      <c r="O2" s="5" t="s">
        <v>40</v>
      </c>
      <c r="P2" s="5" t="s">
        <v>41</v>
      </c>
      <c r="Q2" s="5" t="s">
        <v>42</v>
      </c>
      <c r="R2" s="5" t="s">
        <v>43</v>
      </c>
      <c r="S2" s="5"/>
      <c r="T2">
        <v>2019</v>
      </c>
      <c r="U2">
        <v>2020</v>
      </c>
      <c r="V2">
        <v>2021</v>
      </c>
      <c r="W2">
        <v>2022</v>
      </c>
      <c r="X2">
        <v>2023</v>
      </c>
      <c r="Y2">
        <v>2024</v>
      </c>
      <c r="Z2">
        <v>2025</v>
      </c>
      <c r="AA2">
        <v>2026</v>
      </c>
      <c r="AB2">
        <v>2027</v>
      </c>
      <c r="AC2">
        <v>2028</v>
      </c>
      <c r="AD2">
        <v>2029</v>
      </c>
      <c r="AE2">
        <v>2030</v>
      </c>
      <c r="AF2">
        <v>2031</v>
      </c>
      <c r="AG2">
        <v>2032</v>
      </c>
      <c r="AH2">
        <v>2033</v>
      </c>
      <c r="AI2">
        <v>2034</v>
      </c>
      <c r="AJ2">
        <v>2035</v>
      </c>
    </row>
    <row r="3" spans="2:36" s="7" customFormat="1" x14ac:dyDescent="0.3">
      <c r="B3" s="7" t="s">
        <v>11</v>
      </c>
      <c r="H3" s="8">
        <v>26</v>
      </c>
      <c r="I3" s="8">
        <v>23.5</v>
      </c>
      <c r="J3" s="8">
        <v>32.5</v>
      </c>
      <c r="K3" s="8">
        <v>29.2</v>
      </c>
      <c r="L3" s="8">
        <v>30.5</v>
      </c>
      <c r="M3" s="8">
        <v>32.1</v>
      </c>
      <c r="N3" s="8">
        <v>35.299999999999997</v>
      </c>
      <c r="O3" s="8">
        <v>40.6</v>
      </c>
      <c r="P3" s="8">
        <v>39.6</v>
      </c>
      <c r="Q3" s="8">
        <f>M3*1.33</f>
        <v>42.693000000000005</v>
      </c>
      <c r="R3" s="8">
        <f>N3*1.3</f>
        <v>45.89</v>
      </c>
      <c r="T3" s="8">
        <v>19.3</v>
      </c>
      <c r="U3" s="8">
        <v>28</v>
      </c>
      <c r="V3" s="8">
        <v>42.3</v>
      </c>
      <c r="W3" s="8">
        <v>76.5</v>
      </c>
      <c r="X3" s="8">
        <v>108.7</v>
      </c>
      <c r="Y3" s="8">
        <v>127.2</v>
      </c>
      <c r="Z3" s="8">
        <f>SUM(O3:R3)</f>
        <v>168.78300000000002</v>
      </c>
      <c r="AA3" s="8">
        <f>Z3*1.17</f>
        <v>197.47611000000001</v>
      </c>
      <c r="AB3" s="8">
        <f>AA3*1.09</f>
        <v>215.24895990000002</v>
      </c>
      <c r="AC3" s="8">
        <f>AB3*1.07</f>
        <v>230.31638709300003</v>
      </c>
      <c r="AD3" s="8">
        <f>AC3*1.06</f>
        <v>244.13537031858004</v>
      </c>
      <c r="AE3" s="8">
        <f>AD3*1.05</f>
        <v>256.34213883450906</v>
      </c>
      <c r="AF3" s="8">
        <f>AE3*1.04</f>
        <v>266.59582438788942</v>
      </c>
      <c r="AG3" s="8">
        <f>AF3*1.03</f>
        <v>274.59369911952609</v>
      </c>
      <c r="AH3" s="8">
        <f>AG3*1.02</f>
        <v>280.08557310191662</v>
      </c>
      <c r="AI3" s="8">
        <f t="shared" ref="AI3:AJ3" si="0">AH3*1.02</f>
        <v>285.68728456395496</v>
      </c>
      <c r="AJ3" s="8">
        <f t="shared" si="0"/>
        <v>291.40103025523405</v>
      </c>
    </row>
    <row r="4" spans="2:36" x14ac:dyDescent="0.3">
      <c r="B4" t="s">
        <v>12</v>
      </c>
      <c r="H4" s="2">
        <v>0.9</v>
      </c>
      <c r="I4" s="2">
        <v>2.1</v>
      </c>
      <c r="J4" s="2">
        <v>5.0999999999999996</v>
      </c>
      <c r="K4" s="2">
        <v>2.2000000000000002</v>
      </c>
      <c r="L4" s="2">
        <v>1.4</v>
      </c>
      <c r="M4" s="2">
        <v>1.7</v>
      </c>
      <c r="N4" s="2">
        <v>2.2000000000000002</v>
      </c>
      <c r="O4" s="2">
        <v>2.2000000000000002</v>
      </c>
      <c r="P4" s="2">
        <v>2.7</v>
      </c>
      <c r="Q4" s="2">
        <f>Q3-Q5</f>
        <v>2.988509999999998</v>
      </c>
      <c r="R4" s="2">
        <f>R3-R5</f>
        <v>3.212299999999999</v>
      </c>
      <c r="T4" s="2"/>
      <c r="U4" s="2"/>
      <c r="V4" s="2"/>
      <c r="W4" s="2">
        <v>3</v>
      </c>
      <c r="X4" s="2">
        <v>9.1</v>
      </c>
      <c r="Y4" s="2">
        <v>7.5</v>
      </c>
      <c r="Z4" s="2">
        <f>SUM(O4:R4)</f>
        <v>11.100809999999997</v>
      </c>
      <c r="AA4" s="2">
        <f>AA3-AA5</f>
        <v>11.848566599999998</v>
      </c>
      <c r="AB4" s="2">
        <f t="shared" ref="AB4:AJ4" si="1">AB3-AB5</f>
        <v>12.914937594000008</v>
      </c>
      <c r="AC4" s="2">
        <f t="shared" si="1"/>
        <v>13.818983225580013</v>
      </c>
      <c r="AD4" s="2">
        <f t="shared" si="1"/>
        <v>14.648122219114811</v>
      </c>
      <c r="AE4" s="2">
        <f t="shared" si="1"/>
        <v>15.380528330070547</v>
      </c>
      <c r="AF4" s="2">
        <f t="shared" si="1"/>
        <v>15.99574946327337</v>
      </c>
      <c r="AG4" s="2">
        <f t="shared" si="1"/>
        <v>16.475621947171589</v>
      </c>
      <c r="AH4" s="2">
        <f t="shared" si="1"/>
        <v>16.805134386115014</v>
      </c>
      <c r="AI4" s="2">
        <f t="shared" si="1"/>
        <v>17.141237073837317</v>
      </c>
      <c r="AJ4" s="2">
        <f t="shared" si="1"/>
        <v>17.484061815314078</v>
      </c>
    </row>
    <row r="5" spans="2:36" s="7" customFormat="1" x14ac:dyDescent="0.3">
      <c r="B5" s="7" t="s">
        <v>13</v>
      </c>
      <c r="H5" s="8">
        <f t="shared" ref="H5:P5" si="2">H3-H4</f>
        <v>25.1</v>
      </c>
      <c r="I5" s="8">
        <f t="shared" si="2"/>
        <v>21.4</v>
      </c>
      <c r="J5" s="8">
        <f t="shared" si="2"/>
        <v>27.4</v>
      </c>
      <c r="K5" s="8">
        <f t="shared" si="2"/>
        <v>27</v>
      </c>
      <c r="L5" s="8">
        <f t="shared" si="2"/>
        <v>29.1</v>
      </c>
      <c r="M5" s="8">
        <f t="shared" si="2"/>
        <v>30.400000000000002</v>
      </c>
      <c r="N5" s="8">
        <f t="shared" si="2"/>
        <v>33.099999999999994</v>
      </c>
      <c r="O5" s="8">
        <f t="shared" si="2"/>
        <v>38.4</v>
      </c>
      <c r="P5" s="8">
        <f t="shared" si="2"/>
        <v>36.9</v>
      </c>
      <c r="Q5" s="8">
        <f>Q3*0.93</f>
        <v>39.704490000000007</v>
      </c>
      <c r="R5" s="8">
        <f>R3*0.93</f>
        <v>42.677700000000002</v>
      </c>
      <c r="T5" s="8">
        <f t="shared" ref="T5:Z5" si="3">T3-T4</f>
        <v>19.3</v>
      </c>
      <c r="U5" s="8">
        <f t="shared" si="3"/>
        <v>28</v>
      </c>
      <c r="V5" s="8">
        <f t="shared" si="3"/>
        <v>42.3</v>
      </c>
      <c r="W5" s="8">
        <f t="shared" si="3"/>
        <v>73.5</v>
      </c>
      <c r="X5" s="8">
        <f t="shared" si="3"/>
        <v>99.600000000000009</v>
      </c>
      <c r="Y5" s="8">
        <f t="shared" si="3"/>
        <v>119.7</v>
      </c>
      <c r="Z5" s="8">
        <f t="shared" si="3"/>
        <v>157.68219000000002</v>
      </c>
      <c r="AA5" s="8">
        <f>AA3*0.94</f>
        <v>185.62754340000001</v>
      </c>
      <c r="AB5" s="8">
        <f t="shared" ref="AB5:AJ5" si="4">AB3*0.94</f>
        <v>202.33402230600001</v>
      </c>
      <c r="AC5" s="8">
        <f t="shared" si="4"/>
        <v>216.49740386742002</v>
      </c>
      <c r="AD5" s="8">
        <f t="shared" si="4"/>
        <v>229.48724809946523</v>
      </c>
      <c r="AE5" s="8">
        <f t="shared" si="4"/>
        <v>240.96161050443851</v>
      </c>
      <c r="AF5" s="8">
        <f t="shared" si="4"/>
        <v>250.60007492461605</v>
      </c>
      <c r="AG5" s="8">
        <f t="shared" si="4"/>
        <v>258.1180771723545</v>
      </c>
      <c r="AH5" s="8">
        <f t="shared" si="4"/>
        <v>263.28043871580161</v>
      </c>
      <c r="AI5" s="8">
        <f t="shared" si="4"/>
        <v>268.54604749011764</v>
      </c>
      <c r="AJ5" s="8">
        <f t="shared" si="4"/>
        <v>273.91696843991997</v>
      </c>
    </row>
    <row r="6" spans="2:36" x14ac:dyDescent="0.3">
      <c r="B6" t="s">
        <v>14</v>
      </c>
      <c r="H6" s="2">
        <v>8.6999999999999993</v>
      </c>
      <c r="I6" s="2">
        <v>8.6</v>
      </c>
      <c r="J6" s="2">
        <v>9.6999999999999993</v>
      </c>
      <c r="K6" s="2">
        <v>9.6</v>
      </c>
      <c r="L6" s="2">
        <v>10.7</v>
      </c>
      <c r="M6" s="2">
        <v>10.8</v>
      </c>
      <c r="N6" s="2">
        <v>10.9</v>
      </c>
      <c r="O6" s="2">
        <v>15.2</v>
      </c>
      <c r="P6" s="2">
        <v>15.4</v>
      </c>
      <c r="Q6" s="2">
        <v>15</v>
      </c>
      <c r="R6" s="2">
        <v>15</v>
      </c>
      <c r="T6" s="2">
        <v>10.9</v>
      </c>
      <c r="U6" s="2">
        <v>8.1</v>
      </c>
      <c r="V6" s="2">
        <v>14.1</v>
      </c>
      <c r="W6" s="2">
        <v>33.700000000000003</v>
      </c>
      <c r="X6" s="2">
        <v>35.299999999999997</v>
      </c>
      <c r="Y6" s="2">
        <v>41.9</v>
      </c>
      <c r="Z6" s="2">
        <f t="shared" ref="Z6:Z8" si="5">SUM(O6:R6)</f>
        <v>60.6</v>
      </c>
      <c r="AA6" s="2">
        <f>AA3*0.33</f>
        <v>65.167116300000004</v>
      </c>
      <c r="AB6" s="2">
        <f>AB3*0.32</f>
        <v>68.879667168000012</v>
      </c>
      <c r="AC6" s="2">
        <f t="shared" ref="AC6:AJ6" si="6">AC3*0.31</f>
        <v>71.398079998830013</v>
      </c>
      <c r="AD6" s="2">
        <f t="shared" si="6"/>
        <v>75.681964798759807</v>
      </c>
      <c r="AE6" s="2">
        <f t="shared" si="6"/>
        <v>79.466063038697811</v>
      </c>
      <c r="AF6" s="2">
        <f t="shared" si="6"/>
        <v>82.644705560245725</v>
      </c>
      <c r="AG6" s="2">
        <f t="shared" si="6"/>
        <v>85.124046727053084</v>
      </c>
      <c r="AH6" s="2">
        <f t="shared" si="6"/>
        <v>86.826527661594156</v>
      </c>
      <c r="AI6" s="2">
        <f t="shared" si="6"/>
        <v>88.563058214826043</v>
      </c>
      <c r="AJ6" s="2">
        <f t="shared" si="6"/>
        <v>90.334319379122547</v>
      </c>
    </row>
    <row r="7" spans="2:36" x14ac:dyDescent="0.3">
      <c r="B7" t="s">
        <v>15</v>
      </c>
      <c r="H7" s="2">
        <v>2.5</v>
      </c>
      <c r="I7" s="2">
        <v>2.5</v>
      </c>
      <c r="J7" s="2">
        <v>3.1</v>
      </c>
      <c r="K7" s="2">
        <v>3.2</v>
      </c>
      <c r="L7" s="2">
        <v>3.1</v>
      </c>
      <c r="M7" s="2">
        <v>3.6</v>
      </c>
      <c r="N7" s="2">
        <v>3.9</v>
      </c>
      <c r="O7" s="2">
        <v>5.2</v>
      </c>
      <c r="P7" s="2">
        <v>6.1</v>
      </c>
      <c r="Q7" s="2">
        <v>6.4</v>
      </c>
      <c r="R7" s="2">
        <v>6.8</v>
      </c>
      <c r="T7" s="2">
        <v>2.5</v>
      </c>
      <c r="U7" s="2">
        <v>2.5</v>
      </c>
      <c r="V7" s="2">
        <v>3.9</v>
      </c>
      <c r="W7" s="2">
        <v>6.8</v>
      </c>
      <c r="X7" s="2">
        <v>10.3</v>
      </c>
      <c r="Y7" s="2">
        <v>13.9</v>
      </c>
      <c r="Z7" s="2">
        <f t="shared" si="5"/>
        <v>24.500000000000004</v>
      </c>
      <c r="AA7" s="2">
        <f>Z7*1.4</f>
        <v>34.300000000000004</v>
      </c>
      <c r="AB7" s="2">
        <f>AA7*1.2</f>
        <v>41.160000000000004</v>
      </c>
      <c r="AC7" s="2">
        <f>AB7*1.1</f>
        <v>45.27600000000001</v>
      </c>
      <c r="AD7" s="2">
        <f>AC7*1.05</f>
        <v>47.539800000000014</v>
      </c>
      <c r="AE7" s="2">
        <f>AD7*1.04</f>
        <v>49.441392000000015</v>
      </c>
      <c r="AF7" s="2">
        <f>AE7*1.03</f>
        <v>50.924633760000013</v>
      </c>
      <c r="AG7" s="2">
        <f>AF7*1.02</f>
        <v>51.943126435200014</v>
      </c>
      <c r="AH7" s="2">
        <f t="shared" ref="AH7:AJ7" si="7">AG7*1.02</f>
        <v>52.981988963904016</v>
      </c>
      <c r="AI7" s="2">
        <f t="shared" si="7"/>
        <v>54.041628743182095</v>
      </c>
      <c r="AJ7" s="2">
        <f t="shared" si="7"/>
        <v>55.122461318045737</v>
      </c>
    </row>
    <row r="8" spans="2:36" x14ac:dyDescent="0.3">
      <c r="B8" t="s">
        <v>16</v>
      </c>
      <c r="H8" s="2">
        <v>6.9</v>
      </c>
      <c r="I8" s="2">
        <v>4.8</v>
      </c>
      <c r="J8" s="2">
        <v>7</v>
      </c>
      <c r="K8" s="2">
        <v>6.3</v>
      </c>
      <c r="L8" s="2">
        <v>6.2</v>
      </c>
      <c r="M8" s="2">
        <v>6</v>
      </c>
      <c r="N8" s="2">
        <v>9</v>
      </c>
      <c r="O8" s="2">
        <v>7.7</v>
      </c>
      <c r="P8" s="2">
        <v>8.4</v>
      </c>
      <c r="Q8" s="2">
        <f>M8*1.5</f>
        <v>9</v>
      </c>
      <c r="R8" s="2">
        <f>N8*1.15</f>
        <v>10.35</v>
      </c>
      <c r="T8" s="2">
        <v>4.2</v>
      </c>
      <c r="U8" s="2">
        <v>6</v>
      </c>
      <c r="V8" s="2">
        <v>13</v>
      </c>
      <c r="W8" s="2">
        <v>19.5</v>
      </c>
      <c r="X8" s="2">
        <v>24.3</v>
      </c>
      <c r="Y8" s="2">
        <v>27.6</v>
      </c>
      <c r="Z8" s="2">
        <f t="shared" si="5"/>
        <v>35.450000000000003</v>
      </c>
      <c r="AA8" s="2">
        <f>Z8*1.15</f>
        <v>40.767499999999998</v>
      </c>
      <c r="AB8" s="2">
        <f>AA8*1.08</f>
        <v>44.0289</v>
      </c>
      <c r="AC8" s="2">
        <f>AB8*1.05</f>
        <v>46.230345</v>
      </c>
      <c r="AD8" s="2">
        <f>AC8*1.03</f>
        <v>47.617255350000001</v>
      </c>
      <c r="AE8" s="2">
        <f t="shared" ref="AE8:AJ8" si="8">AD8*1.02</f>
        <v>48.569600457</v>
      </c>
      <c r="AF8" s="2">
        <f t="shared" si="8"/>
        <v>49.540992466140004</v>
      </c>
      <c r="AG8" s="2">
        <f t="shared" si="8"/>
        <v>50.531812315462808</v>
      </c>
      <c r="AH8" s="2">
        <f t="shared" si="8"/>
        <v>51.542448561772062</v>
      </c>
      <c r="AI8" s="2">
        <f t="shared" si="8"/>
        <v>52.573297533007505</v>
      </c>
      <c r="AJ8" s="2">
        <f t="shared" si="8"/>
        <v>53.624763483667657</v>
      </c>
    </row>
    <row r="9" spans="2:36" x14ac:dyDescent="0.3">
      <c r="B9" t="s">
        <v>18</v>
      </c>
      <c r="H9" s="2">
        <f t="shared" ref="H9:P9" si="9">SUM(H6:H8)</f>
        <v>18.100000000000001</v>
      </c>
      <c r="I9" s="2">
        <f t="shared" si="9"/>
        <v>15.899999999999999</v>
      </c>
      <c r="J9" s="2">
        <f t="shared" si="9"/>
        <v>19.799999999999997</v>
      </c>
      <c r="K9" s="2">
        <f t="shared" si="9"/>
        <v>19.100000000000001</v>
      </c>
      <c r="L9" s="2">
        <f t="shared" si="9"/>
        <v>20</v>
      </c>
      <c r="M9" s="2">
        <f t="shared" si="9"/>
        <v>20.399999999999999</v>
      </c>
      <c r="N9" s="2">
        <f t="shared" si="9"/>
        <v>23.8</v>
      </c>
      <c r="O9" s="2">
        <f t="shared" si="9"/>
        <v>28.099999999999998</v>
      </c>
      <c r="P9" s="2">
        <f t="shared" si="9"/>
        <v>29.9</v>
      </c>
      <c r="Q9" s="2">
        <f t="shared" ref="Q9" si="10">SUM(Q6:Q8)</f>
        <v>30.4</v>
      </c>
      <c r="R9" s="2">
        <f t="shared" ref="R9" si="11">SUM(R6:R8)</f>
        <v>32.15</v>
      </c>
      <c r="T9" s="2">
        <f t="shared" ref="T9:Y9" si="12">SUM(T6:T8)</f>
        <v>17.600000000000001</v>
      </c>
      <c r="U9" s="2">
        <f t="shared" si="12"/>
        <v>16.600000000000001</v>
      </c>
      <c r="V9" s="2">
        <f t="shared" si="12"/>
        <v>31</v>
      </c>
      <c r="W9" s="2">
        <f t="shared" si="12"/>
        <v>60</v>
      </c>
      <c r="X9" s="2">
        <f t="shared" si="12"/>
        <v>69.899999999999991</v>
      </c>
      <c r="Y9" s="2">
        <f t="shared" si="12"/>
        <v>83.4</v>
      </c>
      <c r="Z9" s="2">
        <f t="shared" ref="Z9:AJ9" si="13">SUM(Z6:Z8)</f>
        <v>120.55000000000001</v>
      </c>
      <c r="AA9" s="2">
        <f t="shared" si="13"/>
        <v>140.23461630000003</v>
      </c>
      <c r="AB9" s="2">
        <f t="shared" si="13"/>
        <v>154.06856716800002</v>
      </c>
      <c r="AC9" s="2">
        <f t="shared" si="13"/>
        <v>162.90442499883002</v>
      </c>
      <c r="AD9" s="2">
        <f t="shared" si="13"/>
        <v>170.83902014875983</v>
      </c>
      <c r="AE9" s="2">
        <f t="shared" si="13"/>
        <v>177.47705549569784</v>
      </c>
      <c r="AF9" s="2">
        <f t="shared" si="13"/>
        <v>183.11033178638576</v>
      </c>
      <c r="AG9" s="2">
        <f t="shared" si="13"/>
        <v>187.5989854777159</v>
      </c>
      <c r="AH9" s="2">
        <f t="shared" si="13"/>
        <v>191.35096518727022</v>
      </c>
      <c r="AI9" s="2">
        <f t="shared" si="13"/>
        <v>195.17798449101565</v>
      </c>
      <c r="AJ9" s="2">
        <f t="shared" si="13"/>
        <v>199.08154418083595</v>
      </c>
    </row>
    <row r="10" spans="2:36" s="7" customFormat="1" x14ac:dyDescent="0.3">
      <c r="B10" s="7" t="s">
        <v>17</v>
      </c>
      <c r="H10" s="8">
        <f t="shared" ref="H10:P10" si="14">H5-H9</f>
        <v>7</v>
      </c>
      <c r="I10" s="8">
        <f t="shared" si="14"/>
        <v>5.5</v>
      </c>
      <c r="J10" s="8">
        <f t="shared" si="14"/>
        <v>7.6000000000000014</v>
      </c>
      <c r="K10" s="8">
        <f t="shared" si="14"/>
        <v>7.8999999999999986</v>
      </c>
      <c r="L10" s="8">
        <f t="shared" si="14"/>
        <v>9.1000000000000014</v>
      </c>
      <c r="M10" s="8">
        <f t="shared" si="14"/>
        <v>10.000000000000004</v>
      </c>
      <c r="N10" s="8">
        <f t="shared" si="14"/>
        <v>9.2999999999999936</v>
      </c>
      <c r="O10" s="8">
        <f t="shared" si="14"/>
        <v>10.3</v>
      </c>
      <c r="P10" s="8">
        <f t="shared" si="14"/>
        <v>7</v>
      </c>
      <c r="Q10" s="8">
        <f t="shared" ref="Q10" si="15">Q5-Q9</f>
        <v>9.3044900000000084</v>
      </c>
      <c r="R10" s="8">
        <f t="shared" ref="R10" si="16">R5-R9</f>
        <v>10.527700000000003</v>
      </c>
      <c r="T10" s="8">
        <f t="shared" ref="T10:Y10" si="17">T5-T9</f>
        <v>1.6999999999999993</v>
      </c>
      <c r="U10" s="8">
        <f t="shared" si="17"/>
        <v>11.399999999999999</v>
      </c>
      <c r="V10" s="8">
        <f t="shared" si="17"/>
        <v>11.299999999999997</v>
      </c>
      <c r="W10" s="8">
        <f t="shared" si="17"/>
        <v>13.5</v>
      </c>
      <c r="X10" s="8">
        <f t="shared" si="17"/>
        <v>29.700000000000017</v>
      </c>
      <c r="Y10" s="8">
        <f t="shared" si="17"/>
        <v>36.299999999999997</v>
      </c>
      <c r="Z10" s="8">
        <f t="shared" ref="Z10:AJ10" si="18">Z5-Z9</f>
        <v>37.132190000000008</v>
      </c>
      <c r="AA10" s="8">
        <f t="shared" si="18"/>
        <v>45.39292709999998</v>
      </c>
      <c r="AB10" s="8">
        <f t="shared" si="18"/>
        <v>48.265455137999993</v>
      </c>
      <c r="AC10" s="8">
        <f t="shared" si="18"/>
        <v>53.592978868589995</v>
      </c>
      <c r="AD10" s="8">
        <f t="shared" si="18"/>
        <v>58.648227950705405</v>
      </c>
      <c r="AE10" s="8">
        <f t="shared" si="18"/>
        <v>63.484555008740671</v>
      </c>
      <c r="AF10" s="8">
        <f t="shared" si="18"/>
        <v>67.489743138230295</v>
      </c>
      <c r="AG10" s="8">
        <f t="shared" si="18"/>
        <v>70.519091694638604</v>
      </c>
      <c r="AH10" s="8">
        <f t="shared" si="18"/>
        <v>71.929473528531389</v>
      </c>
      <c r="AI10" s="8">
        <f t="shared" si="18"/>
        <v>73.368062999101994</v>
      </c>
      <c r="AJ10" s="8">
        <f t="shared" si="18"/>
        <v>74.835424259084022</v>
      </c>
    </row>
    <row r="11" spans="2:36" x14ac:dyDescent="0.3">
      <c r="B11" t="s">
        <v>19</v>
      </c>
      <c r="H11" s="2">
        <v>0.1</v>
      </c>
      <c r="I11" s="2">
        <v>0.6</v>
      </c>
      <c r="J11" s="2">
        <v>-0.5</v>
      </c>
      <c r="K11" s="2">
        <v>0</v>
      </c>
      <c r="L11" s="2">
        <v>0.7</v>
      </c>
      <c r="M11" s="2">
        <v>0.4</v>
      </c>
      <c r="N11" s="2">
        <v>-0.6</v>
      </c>
      <c r="O11" s="2">
        <v>0</v>
      </c>
      <c r="P11" s="2">
        <v>0.1</v>
      </c>
      <c r="Q11" s="2">
        <v>0</v>
      </c>
      <c r="R11" s="2">
        <v>0</v>
      </c>
      <c r="T11" s="2">
        <v>0.3</v>
      </c>
      <c r="U11" s="2">
        <v>0.3</v>
      </c>
      <c r="V11" s="2">
        <v>-0.1</v>
      </c>
      <c r="W11" s="2">
        <v>0.8</v>
      </c>
      <c r="X11" s="2">
        <v>0.9</v>
      </c>
      <c r="Y11" s="2">
        <v>0.5</v>
      </c>
      <c r="Z11" s="2">
        <f t="shared" ref="Z11:Z14" si="19">SUM(O11:R11)</f>
        <v>0.1</v>
      </c>
      <c r="AA11" s="2">
        <f t="shared" ref="AA11:AJ11" si="20">Z11*1.05</f>
        <v>0.10500000000000001</v>
      </c>
      <c r="AB11" s="2">
        <f t="shared" si="20"/>
        <v>0.11025000000000001</v>
      </c>
      <c r="AC11" s="2">
        <f t="shared" si="20"/>
        <v>0.11576250000000002</v>
      </c>
      <c r="AD11" s="2">
        <f t="shared" si="20"/>
        <v>0.12155062500000002</v>
      </c>
      <c r="AE11" s="2">
        <f t="shared" si="20"/>
        <v>0.12762815625000004</v>
      </c>
      <c r="AF11" s="2">
        <f t="shared" si="20"/>
        <v>0.13400956406250006</v>
      </c>
      <c r="AG11" s="2">
        <f t="shared" si="20"/>
        <v>0.14071004226562506</v>
      </c>
      <c r="AH11" s="2">
        <f t="shared" si="20"/>
        <v>0.14774554437890633</v>
      </c>
      <c r="AI11" s="2">
        <f t="shared" si="20"/>
        <v>0.15513282159785166</v>
      </c>
      <c r="AJ11" s="2">
        <f t="shared" si="20"/>
        <v>0.16288946267774426</v>
      </c>
    </row>
    <row r="12" spans="2:36" x14ac:dyDescent="0.3">
      <c r="B12" t="s">
        <v>20</v>
      </c>
      <c r="H12" s="2">
        <v>6.1</v>
      </c>
      <c r="I12" s="2">
        <v>0</v>
      </c>
      <c r="J12" s="2">
        <v>0</v>
      </c>
      <c r="K12" s="2">
        <v>-0.1</v>
      </c>
      <c r="L12" s="2">
        <v>0</v>
      </c>
      <c r="M12" s="2">
        <v>0</v>
      </c>
      <c r="N12" s="2">
        <v>0</v>
      </c>
      <c r="O12" s="2">
        <v>0.3</v>
      </c>
      <c r="P12" s="2">
        <v>21.2</v>
      </c>
      <c r="Q12" s="2">
        <v>0</v>
      </c>
      <c r="R12" s="2">
        <v>0</v>
      </c>
      <c r="T12" s="2">
        <v>0.1</v>
      </c>
      <c r="U12" s="2">
        <v>-1.4</v>
      </c>
      <c r="V12" s="2">
        <v>0</v>
      </c>
      <c r="W12" s="2">
        <v>10.9</v>
      </c>
      <c r="X12" s="2">
        <v>6.9</v>
      </c>
      <c r="Y12" s="2">
        <v>0</v>
      </c>
      <c r="Z12" s="2">
        <f t="shared" si="19"/>
        <v>21.5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</row>
    <row r="13" spans="2:36" x14ac:dyDescent="0.3">
      <c r="B13" t="s">
        <v>21</v>
      </c>
      <c r="H13" s="2">
        <v>-0.6</v>
      </c>
      <c r="I13" s="2">
        <v>-1</v>
      </c>
      <c r="J13" s="2">
        <v>-0.6</v>
      </c>
      <c r="K13" s="2">
        <v>-0.9</v>
      </c>
      <c r="L13" s="2">
        <v>-0.2</v>
      </c>
      <c r="M13" s="2">
        <v>-0.6</v>
      </c>
      <c r="N13" s="2">
        <v>-0.1</v>
      </c>
      <c r="O13" s="2">
        <v>-3.9</v>
      </c>
      <c r="P13" s="2">
        <v>-4.4000000000000004</v>
      </c>
      <c r="Q13" s="2">
        <v>-4</v>
      </c>
      <c r="R13" s="2">
        <v>-4</v>
      </c>
      <c r="T13" s="2">
        <v>-0.1</v>
      </c>
      <c r="U13" s="2">
        <v>-0.3</v>
      </c>
      <c r="V13" s="2">
        <v>-2.6</v>
      </c>
      <c r="W13" s="2">
        <v>-2.2999999999999998</v>
      </c>
      <c r="X13" s="2">
        <v>-0.6</v>
      </c>
      <c r="Y13" s="2">
        <v>-1.6</v>
      </c>
      <c r="Z13" s="2">
        <f t="shared" si="19"/>
        <v>-16.3</v>
      </c>
      <c r="AA13" s="2">
        <f t="shared" ref="AA13:AJ13" si="21">Z13*1.03</f>
        <v>-16.789000000000001</v>
      </c>
      <c r="AB13" s="2">
        <f t="shared" si="21"/>
        <v>-17.292670000000001</v>
      </c>
      <c r="AC13" s="2">
        <f t="shared" si="21"/>
        <v>-17.811450100000002</v>
      </c>
      <c r="AD13" s="2">
        <f t="shared" si="21"/>
        <v>-18.345793603000001</v>
      </c>
      <c r="AE13" s="2">
        <f t="shared" si="21"/>
        <v>-18.896167411090001</v>
      </c>
      <c r="AF13" s="2">
        <f t="shared" si="21"/>
        <v>-19.463052433422703</v>
      </c>
      <c r="AG13" s="2">
        <f t="shared" si="21"/>
        <v>-20.046944006425385</v>
      </c>
      <c r="AH13" s="2">
        <f t="shared" si="21"/>
        <v>-20.648352326618145</v>
      </c>
      <c r="AI13" s="2">
        <f t="shared" si="21"/>
        <v>-21.26780289641669</v>
      </c>
      <c r="AJ13" s="2">
        <f t="shared" si="21"/>
        <v>-21.905836983309189</v>
      </c>
    </row>
    <row r="14" spans="2:36" x14ac:dyDescent="0.3">
      <c r="B14" t="s">
        <v>22</v>
      </c>
      <c r="H14" s="2">
        <v>0.4</v>
      </c>
      <c r="I14" s="2">
        <v>0.4</v>
      </c>
      <c r="J14" s="2">
        <v>2.6</v>
      </c>
      <c r="K14" s="2">
        <v>0.5</v>
      </c>
      <c r="L14" s="2">
        <v>0.9</v>
      </c>
      <c r="M14" s="2">
        <v>1.1000000000000001</v>
      </c>
      <c r="N14" s="2">
        <v>0.9</v>
      </c>
      <c r="O14" s="2">
        <v>3</v>
      </c>
      <c r="P14" s="2">
        <v>2.2999999999999998</v>
      </c>
      <c r="Q14" s="2">
        <v>2</v>
      </c>
      <c r="R14" s="2">
        <v>2</v>
      </c>
      <c r="T14" s="2">
        <v>2.5</v>
      </c>
      <c r="U14" s="2">
        <v>2.1</v>
      </c>
      <c r="V14" s="2">
        <v>1.8</v>
      </c>
      <c r="W14" s="2">
        <v>1.3</v>
      </c>
      <c r="X14" s="2">
        <v>2.2999999999999998</v>
      </c>
      <c r="Y14" s="2">
        <v>3.1</v>
      </c>
      <c r="Z14" s="2">
        <f t="shared" si="19"/>
        <v>9.3000000000000007</v>
      </c>
      <c r="AA14" s="2">
        <f t="shared" ref="AA14:AJ14" si="22">Z14*1.03</f>
        <v>9.5790000000000006</v>
      </c>
      <c r="AB14" s="2">
        <f t="shared" si="22"/>
        <v>9.8663700000000016</v>
      </c>
      <c r="AC14" s="2">
        <f t="shared" si="22"/>
        <v>10.162361100000002</v>
      </c>
      <c r="AD14" s="2">
        <f t="shared" si="22"/>
        <v>10.467231933000003</v>
      </c>
      <c r="AE14" s="2">
        <f t="shared" si="22"/>
        <v>10.781248890990003</v>
      </c>
      <c r="AF14" s="2">
        <f t="shared" si="22"/>
        <v>11.104686357719704</v>
      </c>
      <c r="AG14" s="2">
        <f t="shared" si="22"/>
        <v>11.437826948451296</v>
      </c>
      <c r="AH14" s="2">
        <f t="shared" si="22"/>
        <v>11.780961756904835</v>
      </c>
      <c r="AI14" s="2">
        <f t="shared" si="22"/>
        <v>12.13439060961198</v>
      </c>
      <c r="AJ14" s="2">
        <f t="shared" si="22"/>
        <v>12.498422327900339</v>
      </c>
    </row>
    <row r="15" spans="2:36" x14ac:dyDescent="0.3">
      <c r="B15" t="s">
        <v>23</v>
      </c>
      <c r="H15" s="2">
        <f t="shared" ref="H15:P15" si="23">SUM(H11:H14)</f>
        <v>6</v>
      </c>
      <c r="I15" s="2">
        <f t="shared" si="23"/>
        <v>0</v>
      </c>
      <c r="J15" s="2">
        <f t="shared" si="23"/>
        <v>1.5</v>
      </c>
      <c r="K15" s="2">
        <f t="shared" si="23"/>
        <v>-0.5</v>
      </c>
      <c r="L15" s="2">
        <f t="shared" si="23"/>
        <v>1.4</v>
      </c>
      <c r="M15" s="2">
        <f t="shared" si="23"/>
        <v>0.90000000000000013</v>
      </c>
      <c r="N15" s="2">
        <f t="shared" si="23"/>
        <v>0.20000000000000007</v>
      </c>
      <c r="O15" s="2">
        <f t="shared" si="23"/>
        <v>-0.60000000000000009</v>
      </c>
      <c r="P15" s="2">
        <f t="shared" si="23"/>
        <v>19.2</v>
      </c>
      <c r="Q15" s="2">
        <f t="shared" ref="Q15" si="24">SUM(Q11:Q14)</f>
        <v>-2</v>
      </c>
      <c r="R15" s="2">
        <f t="shared" ref="R15" si="25">SUM(R11:R14)</f>
        <v>-2</v>
      </c>
      <c r="T15" s="2">
        <f t="shared" ref="T15:Y15" si="26">SUM(T11:T14)</f>
        <v>2.8</v>
      </c>
      <c r="U15" s="2">
        <f t="shared" si="26"/>
        <v>0.70000000000000018</v>
      </c>
      <c r="V15" s="2">
        <f t="shared" si="26"/>
        <v>-0.90000000000000013</v>
      </c>
      <c r="W15" s="2">
        <f t="shared" si="26"/>
        <v>10.700000000000003</v>
      </c>
      <c r="X15" s="2">
        <f t="shared" si="26"/>
        <v>9.5</v>
      </c>
      <c r="Y15" s="2">
        <f t="shared" si="26"/>
        <v>2</v>
      </c>
      <c r="Z15" s="2">
        <f t="shared" ref="Z15:AJ15" si="27">SUM(Z11:Z14)</f>
        <v>14.600000000000001</v>
      </c>
      <c r="AA15" s="2">
        <f t="shared" si="27"/>
        <v>-7.1050000000000004</v>
      </c>
      <c r="AB15" s="2">
        <f t="shared" si="27"/>
        <v>-7.3160499999999988</v>
      </c>
      <c r="AC15" s="2">
        <f t="shared" si="27"/>
        <v>-7.5333265000000011</v>
      </c>
      <c r="AD15" s="2">
        <f t="shared" si="27"/>
        <v>-7.7570110449999969</v>
      </c>
      <c r="AE15" s="2">
        <f t="shared" si="27"/>
        <v>-7.987290363849997</v>
      </c>
      <c r="AF15" s="2">
        <f t="shared" si="27"/>
        <v>-8.2243565116405009</v>
      </c>
      <c r="AG15" s="2">
        <f t="shared" si="27"/>
        <v>-8.4684070157084648</v>
      </c>
      <c r="AH15" s="2">
        <f t="shared" si="27"/>
        <v>-8.7196450253344029</v>
      </c>
      <c r="AI15" s="2">
        <f t="shared" si="27"/>
        <v>-8.9782794652068567</v>
      </c>
      <c r="AJ15" s="2">
        <f t="shared" si="27"/>
        <v>-9.244525192731107</v>
      </c>
    </row>
    <row r="16" spans="2:36" s="7" customFormat="1" x14ac:dyDescent="0.3">
      <c r="B16" s="7" t="s">
        <v>24</v>
      </c>
      <c r="H16" s="8">
        <f t="shared" ref="H16:P16" si="28">H10-H15</f>
        <v>1</v>
      </c>
      <c r="I16" s="8">
        <f t="shared" si="28"/>
        <v>5.5</v>
      </c>
      <c r="J16" s="8">
        <f t="shared" si="28"/>
        <v>6.1000000000000014</v>
      </c>
      <c r="K16" s="8">
        <f t="shared" si="28"/>
        <v>8.3999999999999986</v>
      </c>
      <c r="L16" s="8">
        <f t="shared" si="28"/>
        <v>7.7000000000000011</v>
      </c>
      <c r="M16" s="8">
        <f t="shared" si="28"/>
        <v>9.1000000000000032</v>
      </c>
      <c r="N16" s="8">
        <f t="shared" si="28"/>
        <v>9.0999999999999943</v>
      </c>
      <c r="O16" s="8">
        <f t="shared" si="28"/>
        <v>10.9</v>
      </c>
      <c r="P16" s="8">
        <f t="shared" si="28"/>
        <v>-12.2</v>
      </c>
      <c r="Q16" s="8">
        <f t="shared" ref="Q16" si="29">Q10-Q15</f>
        <v>11.304490000000008</v>
      </c>
      <c r="R16" s="8">
        <f t="shared" ref="R16" si="30">R10-R15</f>
        <v>12.527700000000003</v>
      </c>
      <c r="T16" s="8">
        <f t="shared" ref="T16:Y16" si="31">T10-T15</f>
        <v>-1.1000000000000005</v>
      </c>
      <c r="U16" s="8">
        <f t="shared" si="31"/>
        <v>10.7</v>
      </c>
      <c r="V16" s="8">
        <f t="shared" si="31"/>
        <v>12.199999999999998</v>
      </c>
      <c r="W16" s="8">
        <f t="shared" si="31"/>
        <v>2.7999999999999972</v>
      </c>
      <c r="X16" s="8">
        <f t="shared" si="31"/>
        <v>20.200000000000017</v>
      </c>
      <c r="Y16" s="8">
        <f t="shared" si="31"/>
        <v>34.299999999999997</v>
      </c>
      <c r="Z16" s="8">
        <f t="shared" ref="Z16:AJ16" si="32">Z10-Z15</f>
        <v>22.532190000000007</v>
      </c>
      <c r="AA16" s="8">
        <f t="shared" si="32"/>
        <v>52.497927099999984</v>
      </c>
      <c r="AB16" s="8">
        <f t="shared" si="32"/>
        <v>55.58150513799999</v>
      </c>
      <c r="AC16" s="8">
        <f t="shared" si="32"/>
        <v>61.126305368589996</v>
      </c>
      <c r="AD16" s="8">
        <f t="shared" si="32"/>
        <v>66.405238995705403</v>
      </c>
      <c r="AE16" s="8">
        <f t="shared" si="32"/>
        <v>71.471845372590664</v>
      </c>
      <c r="AF16" s="8">
        <f t="shared" si="32"/>
        <v>75.714099649870803</v>
      </c>
      <c r="AG16" s="8">
        <f t="shared" si="32"/>
        <v>78.987498710347069</v>
      </c>
      <c r="AH16" s="8">
        <f t="shared" si="32"/>
        <v>80.64911855386579</v>
      </c>
      <c r="AI16" s="8">
        <f t="shared" si="32"/>
        <v>82.346342464308847</v>
      </c>
      <c r="AJ16" s="8">
        <f t="shared" si="32"/>
        <v>84.079949451815125</v>
      </c>
    </row>
    <row r="17" spans="2:142" x14ac:dyDescent="0.3">
      <c r="B17" t="s">
        <v>25</v>
      </c>
      <c r="H17" s="2">
        <v>0.6</v>
      </c>
      <c r="I17" s="2">
        <v>0.3</v>
      </c>
      <c r="J17" s="2">
        <v>-0.2</v>
      </c>
      <c r="K17" s="2">
        <v>1.1000000000000001</v>
      </c>
      <c r="L17" s="2">
        <v>0.7</v>
      </c>
      <c r="M17" s="2">
        <v>0.6</v>
      </c>
      <c r="N17" s="2">
        <v>1.1000000000000001</v>
      </c>
      <c r="O17" s="2">
        <v>-0.3</v>
      </c>
      <c r="P17" s="2">
        <v>1.2</v>
      </c>
      <c r="Q17" s="2">
        <v>0</v>
      </c>
      <c r="R17" s="2">
        <v>0</v>
      </c>
      <c r="T17" s="2">
        <v>0.9</v>
      </c>
      <c r="U17" s="2">
        <v>-4.3</v>
      </c>
      <c r="V17" s="2">
        <v>-0.3</v>
      </c>
      <c r="W17" s="2">
        <v>0.5</v>
      </c>
      <c r="X17" s="2">
        <v>1.9</v>
      </c>
      <c r="Y17" s="2">
        <v>3.5</v>
      </c>
      <c r="Z17" s="2">
        <f>SUM(O17:R17)</f>
        <v>0.89999999999999991</v>
      </c>
      <c r="AA17" s="2">
        <f t="shared" ref="AA17:AJ17" si="33">AA16*0.15</f>
        <v>7.8746890649999974</v>
      </c>
      <c r="AB17" s="2">
        <f t="shared" si="33"/>
        <v>8.3372257706999982</v>
      </c>
      <c r="AC17" s="2">
        <f t="shared" si="33"/>
        <v>9.1689458052884998</v>
      </c>
      <c r="AD17" s="2">
        <f t="shared" si="33"/>
        <v>9.9607858493558101</v>
      </c>
      <c r="AE17" s="2">
        <f t="shared" si="33"/>
        <v>10.720776805888599</v>
      </c>
      <c r="AF17" s="2">
        <f t="shared" si="33"/>
        <v>11.357114947480619</v>
      </c>
      <c r="AG17" s="2">
        <f t="shared" si="33"/>
        <v>11.848124806552059</v>
      </c>
      <c r="AH17" s="2">
        <f t="shared" si="33"/>
        <v>12.097367783079868</v>
      </c>
      <c r="AI17" s="2">
        <f t="shared" si="33"/>
        <v>12.351951369646327</v>
      </c>
      <c r="AJ17" s="2">
        <f t="shared" si="33"/>
        <v>12.611992417772269</v>
      </c>
    </row>
    <row r="18" spans="2:142" s="7" customFormat="1" x14ac:dyDescent="0.3">
      <c r="B18" s="7" t="s">
        <v>26</v>
      </c>
      <c r="H18" s="8">
        <f t="shared" ref="H18:P18" si="34">H16-H17</f>
        <v>0.4</v>
      </c>
      <c r="I18" s="8">
        <f t="shared" si="34"/>
        <v>5.2</v>
      </c>
      <c r="J18" s="8">
        <f t="shared" si="34"/>
        <v>6.3000000000000016</v>
      </c>
      <c r="K18" s="8">
        <f t="shared" si="34"/>
        <v>7.2999999999999989</v>
      </c>
      <c r="L18" s="8">
        <f t="shared" si="34"/>
        <v>7.0000000000000009</v>
      </c>
      <c r="M18" s="8">
        <f t="shared" si="34"/>
        <v>8.5000000000000036</v>
      </c>
      <c r="N18" s="8">
        <f t="shared" si="34"/>
        <v>7.9999999999999947</v>
      </c>
      <c r="O18" s="8">
        <f t="shared" si="34"/>
        <v>11.200000000000001</v>
      </c>
      <c r="P18" s="8">
        <f t="shared" si="34"/>
        <v>-13.399999999999999</v>
      </c>
      <c r="Q18" s="8">
        <f t="shared" ref="Q18" si="35">Q16-Q17</f>
        <v>11.304490000000008</v>
      </c>
      <c r="R18" s="8">
        <f t="shared" ref="R18" si="36">R16-R17</f>
        <v>12.527700000000003</v>
      </c>
      <c r="T18" s="8">
        <f t="shared" ref="T18:Y18" si="37">T16-T17</f>
        <v>-2.0000000000000004</v>
      </c>
      <c r="U18" s="8">
        <f t="shared" si="37"/>
        <v>15</v>
      </c>
      <c r="V18" s="8">
        <f t="shared" si="37"/>
        <v>12.499999999999998</v>
      </c>
      <c r="W18" s="8">
        <f t="shared" si="37"/>
        <v>2.2999999999999972</v>
      </c>
      <c r="X18" s="8">
        <f t="shared" si="37"/>
        <v>18.300000000000018</v>
      </c>
      <c r="Y18" s="8">
        <f t="shared" si="37"/>
        <v>30.799999999999997</v>
      </c>
      <c r="Z18" s="8">
        <f t="shared" ref="Z18" si="38">Z16-Z17</f>
        <v>21.632190000000008</v>
      </c>
      <c r="AA18" s="8">
        <f t="shared" ref="AA18" si="39">AA16-AA17</f>
        <v>44.623238034999986</v>
      </c>
      <c r="AB18" s="8">
        <f t="shared" ref="AB18" si="40">AB16-AB17</f>
        <v>47.244279367299995</v>
      </c>
      <c r="AC18" s="8">
        <f t="shared" ref="AC18" si="41">AC16-AC17</f>
        <v>51.957359563301495</v>
      </c>
      <c r="AD18" s="8">
        <f t="shared" ref="AD18" si="42">AD16-AD17</f>
        <v>56.444453146349595</v>
      </c>
      <c r="AE18" s="8">
        <f t="shared" ref="AE18" si="43">AE16-AE17</f>
        <v>60.751068566702067</v>
      </c>
      <c r="AF18" s="8">
        <f t="shared" ref="AF18" si="44">AF16-AF17</f>
        <v>64.356984702390179</v>
      </c>
      <c r="AG18" s="8">
        <f t="shared" ref="AG18" si="45">AG16-AG17</f>
        <v>67.139373903795004</v>
      </c>
      <c r="AH18" s="8">
        <f t="shared" ref="AH18" si="46">AH16-AH17</f>
        <v>68.551750770785929</v>
      </c>
      <c r="AI18" s="8">
        <f t="shared" ref="AI18" si="47">AI16-AI17</f>
        <v>69.994391094662518</v>
      </c>
      <c r="AJ18" s="8">
        <f t="shared" ref="AJ18" si="48">AJ16-AJ17</f>
        <v>71.467957034042854</v>
      </c>
      <c r="AK18" s="7">
        <f>AJ18*(1+$AM$24)</f>
        <v>70.753277463702432</v>
      </c>
      <c r="AL18" s="7">
        <f t="shared" ref="AL18:CW18" si="49">AK18*(1+$AM$24)</f>
        <v>70.045744689065401</v>
      </c>
      <c r="AM18" s="7">
        <f t="shared" si="49"/>
        <v>69.345287242174749</v>
      </c>
      <c r="AN18" s="7">
        <f t="shared" si="49"/>
        <v>68.651834369753004</v>
      </c>
      <c r="AO18" s="7">
        <f t="shared" si="49"/>
        <v>67.965316026055476</v>
      </c>
      <c r="AP18" s="7">
        <f t="shared" si="49"/>
        <v>67.285662865794919</v>
      </c>
      <c r="AQ18" s="7">
        <f t="shared" si="49"/>
        <v>66.612806237136965</v>
      </c>
      <c r="AR18" s="7">
        <f t="shared" si="49"/>
        <v>65.946678174765594</v>
      </c>
      <c r="AS18" s="7">
        <f t="shared" si="49"/>
        <v>65.287211393017941</v>
      </c>
      <c r="AT18" s="7">
        <f t="shared" si="49"/>
        <v>64.634339279087754</v>
      </c>
      <c r="AU18" s="7">
        <f t="shared" si="49"/>
        <v>63.987995886296879</v>
      </c>
      <c r="AV18" s="7">
        <f t="shared" si="49"/>
        <v>63.348115927433909</v>
      </c>
      <c r="AW18" s="7">
        <f t="shared" si="49"/>
        <v>62.71463476815957</v>
      </c>
      <c r="AX18" s="7">
        <f t="shared" si="49"/>
        <v>62.087488420477975</v>
      </c>
      <c r="AY18" s="7">
        <f t="shared" si="49"/>
        <v>61.466613536273194</v>
      </c>
      <c r="AZ18" s="7">
        <f t="shared" si="49"/>
        <v>60.851947400910461</v>
      </c>
      <c r="BA18" s="7">
        <f t="shared" si="49"/>
        <v>60.243427926901354</v>
      </c>
      <c r="BB18" s="7">
        <f t="shared" si="49"/>
        <v>59.640993647632342</v>
      </c>
      <c r="BC18" s="7">
        <f t="shared" si="49"/>
        <v>59.044583711156015</v>
      </c>
      <c r="BD18" s="7">
        <f t="shared" si="49"/>
        <v>58.454137874044456</v>
      </c>
      <c r="BE18" s="7">
        <f t="shared" si="49"/>
        <v>57.869596495304009</v>
      </c>
      <c r="BF18" s="7">
        <f t="shared" si="49"/>
        <v>57.290900530350967</v>
      </c>
      <c r="BG18" s="7">
        <f t="shared" si="49"/>
        <v>56.717991525047459</v>
      </c>
      <c r="BH18" s="7">
        <f t="shared" si="49"/>
        <v>56.150811609796982</v>
      </c>
      <c r="BI18" s="7">
        <f t="shared" si="49"/>
        <v>55.589303493699013</v>
      </c>
      <c r="BJ18" s="7">
        <f t="shared" si="49"/>
        <v>55.03341045876202</v>
      </c>
      <c r="BK18" s="7">
        <f t="shared" si="49"/>
        <v>54.483076354174401</v>
      </c>
      <c r="BL18" s="7">
        <f t="shared" si="49"/>
        <v>53.938245590632654</v>
      </c>
      <c r="BM18" s="7">
        <f t="shared" si="49"/>
        <v>53.398863134726327</v>
      </c>
      <c r="BN18" s="7">
        <f t="shared" si="49"/>
        <v>52.864874503379063</v>
      </c>
      <c r="BO18" s="7">
        <f t="shared" si="49"/>
        <v>52.336225758345272</v>
      </c>
      <c r="BP18" s="7">
        <f t="shared" si="49"/>
        <v>51.812863500761821</v>
      </c>
      <c r="BQ18" s="7">
        <f t="shared" si="49"/>
        <v>51.294734865754201</v>
      </c>
      <c r="BR18" s="7">
        <f t="shared" si="49"/>
        <v>50.78178751709666</v>
      </c>
      <c r="BS18" s="7">
        <f t="shared" si="49"/>
        <v>50.273969641925696</v>
      </c>
      <c r="BT18" s="7">
        <f t="shared" si="49"/>
        <v>49.771229945506441</v>
      </c>
      <c r="BU18" s="7">
        <f t="shared" si="49"/>
        <v>49.273517646051374</v>
      </c>
      <c r="BV18" s="7">
        <f t="shared" si="49"/>
        <v>48.780782469590861</v>
      </c>
      <c r="BW18" s="7">
        <f t="shared" si="49"/>
        <v>48.292974644894954</v>
      </c>
      <c r="BX18" s="7">
        <f t="shared" si="49"/>
        <v>47.810044898446002</v>
      </c>
      <c r="BY18" s="7">
        <f t="shared" si="49"/>
        <v>47.331944449461538</v>
      </c>
      <c r="BZ18" s="7">
        <f t="shared" si="49"/>
        <v>46.858625004966925</v>
      </c>
      <c r="CA18" s="7">
        <f t="shared" si="49"/>
        <v>46.390038754917256</v>
      </c>
      <c r="CB18" s="7">
        <f t="shared" si="49"/>
        <v>45.926138367368083</v>
      </c>
      <c r="CC18" s="7">
        <f t="shared" si="49"/>
        <v>45.466876983694398</v>
      </c>
      <c r="CD18" s="7">
        <f t="shared" si="49"/>
        <v>45.012208213857456</v>
      </c>
      <c r="CE18" s="7">
        <f t="shared" si="49"/>
        <v>44.562086131718878</v>
      </c>
      <c r="CF18" s="7">
        <f t="shared" si="49"/>
        <v>44.11646527040169</v>
      </c>
      <c r="CG18" s="7">
        <f t="shared" si="49"/>
        <v>43.675300617697673</v>
      </c>
      <c r="CH18" s="7">
        <f t="shared" si="49"/>
        <v>43.238547611520694</v>
      </c>
      <c r="CI18" s="7">
        <f t="shared" si="49"/>
        <v>42.806162135405486</v>
      </c>
      <c r="CJ18" s="7">
        <f t="shared" si="49"/>
        <v>42.378100514051432</v>
      </c>
      <c r="CK18" s="7">
        <f t="shared" si="49"/>
        <v>41.95431950891092</v>
      </c>
      <c r="CL18" s="7">
        <f t="shared" si="49"/>
        <v>41.534776313821808</v>
      </c>
      <c r="CM18" s="7">
        <f t="shared" si="49"/>
        <v>41.119428550683587</v>
      </c>
      <c r="CN18" s="7">
        <f t="shared" si="49"/>
        <v>40.708234265176749</v>
      </c>
      <c r="CO18" s="7">
        <f t="shared" si="49"/>
        <v>40.30115192252498</v>
      </c>
      <c r="CP18" s="7">
        <f t="shared" si="49"/>
        <v>39.898140403299728</v>
      </c>
      <c r="CQ18" s="7">
        <f t="shared" si="49"/>
        <v>39.499158999266733</v>
      </c>
      <c r="CR18" s="7">
        <f t="shared" si="49"/>
        <v>39.104167409274062</v>
      </c>
      <c r="CS18" s="7">
        <f t="shared" si="49"/>
        <v>38.713125735181322</v>
      </c>
      <c r="CT18" s="7">
        <f t="shared" si="49"/>
        <v>38.325994477829511</v>
      </c>
      <c r="CU18" s="7">
        <f t="shared" si="49"/>
        <v>37.942734533051215</v>
      </c>
      <c r="CV18" s="7">
        <f t="shared" si="49"/>
        <v>37.563307187720703</v>
      </c>
      <c r="CW18" s="7">
        <f t="shared" si="49"/>
        <v>37.187674115843492</v>
      </c>
      <c r="CX18" s="7">
        <f t="shared" ref="CX18:EL18" si="50">CW18*(1+$AM$24)</f>
        <v>36.815797374685054</v>
      </c>
      <c r="CY18" s="7">
        <f t="shared" si="50"/>
        <v>36.447639400938201</v>
      </c>
      <c r="CZ18" s="7">
        <f t="shared" si="50"/>
        <v>36.083163006928821</v>
      </c>
      <c r="DA18" s="7">
        <f t="shared" si="50"/>
        <v>35.722331376859529</v>
      </c>
      <c r="DB18" s="7">
        <f t="shared" si="50"/>
        <v>35.365108063090936</v>
      </c>
      <c r="DC18" s="7">
        <f t="shared" si="50"/>
        <v>35.011456982460025</v>
      </c>
      <c r="DD18" s="7">
        <f t="shared" si="50"/>
        <v>34.661342412635427</v>
      </c>
      <c r="DE18" s="7">
        <f t="shared" si="50"/>
        <v>34.314728988509074</v>
      </c>
      <c r="DF18" s="7">
        <f t="shared" si="50"/>
        <v>33.971581698623986</v>
      </c>
      <c r="DG18" s="7">
        <f t="shared" si="50"/>
        <v>33.631865881637744</v>
      </c>
      <c r="DH18" s="7">
        <f t="shared" si="50"/>
        <v>33.295547222821369</v>
      </c>
      <c r="DI18" s="7">
        <f t="shared" si="50"/>
        <v>32.962591750593155</v>
      </c>
      <c r="DJ18" s="7">
        <f t="shared" si="50"/>
        <v>32.632965833087226</v>
      </c>
      <c r="DK18" s="7">
        <f t="shared" si="50"/>
        <v>32.306636174756356</v>
      </c>
      <c r="DL18" s="7">
        <f t="shared" si="50"/>
        <v>31.983569813008792</v>
      </c>
      <c r="DM18" s="7">
        <f t="shared" si="50"/>
        <v>31.663734114878704</v>
      </c>
      <c r="DN18" s="7">
        <f t="shared" si="50"/>
        <v>31.347096773729916</v>
      </c>
      <c r="DO18" s="7">
        <f t="shared" si="50"/>
        <v>31.033625805992617</v>
      </c>
      <c r="DP18" s="7">
        <f t="shared" si="50"/>
        <v>30.723289547932691</v>
      </c>
      <c r="DQ18" s="7">
        <f t="shared" si="50"/>
        <v>30.416056652453364</v>
      </c>
      <c r="DR18" s="7">
        <f t="shared" si="50"/>
        <v>30.11189608592883</v>
      </c>
      <c r="DS18" s="7">
        <f t="shared" si="50"/>
        <v>29.810777125069542</v>
      </c>
      <c r="DT18" s="7">
        <f t="shared" si="50"/>
        <v>29.512669353818847</v>
      </c>
      <c r="DU18" s="7">
        <f t="shared" si="50"/>
        <v>29.217542660280657</v>
      </c>
      <c r="DV18" s="7">
        <f t="shared" si="50"/>
        <v>28.92536723367785</v>
      </c>
      <c r="DW18" s="7">
        <f t="shared" si="50"/>
        <v>28.63611356134107</v>
      </c>
      <c r="DX18" s="7">
        <f t="shared" si="50"/>
        <v>28.349752425727658</v>
      </c>
      <c r="DY18" s="7">
        <f t="shared" si="50"/>
        <v>28.06625490147038</v>
      </c>
      <c r="DZ18" s="7">
        <f t="shared" si="50"/>
        <v>27.785592352455676</v>
      </c>
      <c r="EA18" s="7">
        <f t="shared" si="50"/>
        <v>27.507736428931121</v>
      </c>
      <c r="EB18" s="7">
        <f t="shared" si="50"/>
        <v>27.232659064641808</v>
      </c>
      <c r="EC18" s="7">
        <f t="shared" si="50"/>
        <v>26.96033247399539</v>
      </c>
      <c r="ED18" s="7">
        <f t="shared" si="50"/>
        <v>26.690729149255436</v>
      </c>
      <c r="EE18" s="7">
        <f t="shared" si="50"/>
        <v>26.423821857762881</v>
      </c>
      <c r="EF18" s="7">
        <f t="shared" si="50"/>
        <v>26.159583639185254</v>
      </c>
      <c r="EG18" s="7">
        <f t="shared" si="50"/>
        <v>25.897987802793402</v>
      </c>
      <c r="EH18" s="7">
        <f t="shared" si="50"/>
        <v>25.639007924765469</v>
      </c>
      <c r="EI18" s="7">
        <f t="shared" si="50"/>
        <v>25.382617845517814</v>
      </c>
      <c r="EJ18" s="7">
        <f t="shared" si="50"/>
        <v>25.128791667062636</v>
      </c>
      <c r="EK18" s="7">
        <f t="shared" si="50"/>
        <v>24.877503750392009</v>
      </c>
      <c r="EL18" s="7">
        <f t="shared" si="50"/>
        <v>24.628728712888087</v>
      </c>
    </row>
    <row r="19" spans="2:142" x14ac:dyDescent="0.3">
      <c r="B19" t="s">
        <v>2</v>
      </c>
      <c r="H19" s="2">
        <v>34.799999999999997</v>
      </c>
      <c r="I19" s="2">
        <v>34.799999999999997</v>
      </c>
      <c r="J19" s="2">
        <v>34.799999999999997</v>
      </c>
      <c r="K19" s="2">
        <v>34.799999999999997</v>
      </c>
      <c r="L19" s="2">
        <v>34.799999999999997</v>
      </c>
      <c r="M19" s="2">
        <v>34.799999999999997</v>
      </c>
      <c r="N19" s="2">
        <v>34.799999999999997</v>
      </c>
      <c r="O19" s="2">
        <f>35.6</f>
        <v>35.6</v>
      </c>
      <c r="P19" s="2">
        <f>35.7</f>
        <v>35.700000000000003</v>
      </c>
      <c r="Q19" s="2">
        <f t="shared" ref="Q19:R19" si="51">35.7</f>
        <v>35.700000000000003</v>
      </c>
      <c r="R19" s="2">
        <f t="shared" si="51"/>
        <v>35.700000000000003</v>
      </c>
      <c r="T19" s="2">
        <v>34.799999999999997</v>
      </c>
      <c r="U19" s="2">
        <v>34.799999999999997</v>
      </c>
      <c r="V19" s="2">
        <v>34.799999999999997</v>
      </c>
      <c r="W19" s="2">
        <v>34.799999999999997</v>
      </c>
      <c r="X19" s="2">
        <v>34.799999999999997</v>
      </c>
      <c r="Y19" s="2">
        <v>34.799999999999997</v>
      </c>
      <c r="Z19" s="2">
        <f t="shared" ref="Z19:AJ19" si="52">35.7</f>
        <v>35.700000000000003</v>
      </c>
      <c r="AA19" s="2">
        <f t="shared" si="52"/>
        <v>35.700000000000003</v>
      </c>
      <c r="AB19" s="2">
        <f t="shared" si="52"/>
        <v>35.700000000000003</v>
      </c>
      <c r="AC19" s="2">
        <f t="shared" si="52"/>
        <v>35.700000000000003</v>
      </c>
      <c r="AD19" s="2">
        <f t="shared" si="52"/>
        <v>35.700000000000003</v>
      </c>
      <c r="AE19" s="2">
        <f t="shared" si="52"/>
        <v>35.700000000000003</v>
      </c>
      <c r="AF19" s="2">
        <f t="shared" si="52"/>
        <v>35.700000000000003</v>
      </c>
      <c r="AG19" s="2">
        <f t="shared" si="52"/>
        <v>35.700000000000003</v>
      </c>
      <c r="AH19" s="2">
        <f t="shared" si="52"/>
        <v>35.700000000000003</v>
      </c>
      <c r="AI19" s="2">
        <f t="shared" si="52"/>
        <v>35.700000000000003</v>
      </c>
      <c r="AJ19" s="2">
        <f t="shared" si="52"/>
        <v>35.700000000000003</v>
      </c>
    </row>
    <row r="20" spans="2:142" x14ac:dyDescent="0.3">
      <c r="B20" t="s">
        <v>27</v>
      </c>
      <c r="H20" s="6">
        <f t="shared" ref="H20:P20" si="53">H18/H19</f>
        <v>1.149425287356322E-2</v>
      </c>
      <c r="I20" s="6">
        <f t="shared" si="53"/>
        <v>0.14942528735632185</v>
      </c>
      <c r="J20" s="6">
        <f t="shared" si="53"/>
        <v>0.18103448275862075</v>
      </c>
      <c r="K20" s="6">
        <f t="shared" si="53"/>
        <v>0.20977011494252873</v>
      </c>
      <c r="L20" s="6">
        <f t="shared" si="53"/>
        <v>0.20114942528735635</v>
      </c>
      <c r="M20" s="6">
        <f t="shared" si="53"/>
        <v>0.24425287356321851</v>
      </c>
      <c r="N20" s="6">
        <f t="shared" si="53"/>
        <v>0.22988505747126423</v>
      </c>
      <c r="O20" s="6">
        <f t="shared" si="53"/>
        <v>0.3146067415730337</v>
      </c>
      <c r="P20" s="6">
        <f t="shared" si="53"/>
        <v>-0.37535014005602235</v>
      </c>
      <c r="Q20" s="6">
        <f t="shared" ref="Q20" si="54">Q18/Q19</f>
        <v>0.31665238095238118</v>
      </c>
      <c r="R20" s="6">
        <f t="shared" ref="R20" si="55">R18/R19</f>
        <v>0.3509159663865547</v>
      </c>
      <c r="T20" s="6">
        <f t="shared" ref="T20:Y20" si="56">T18/T19</f>
        <v>-5.7471264367816112E-2</v>
      </c>
      <c r="U20" s="6">
        <f t="shared" si="56"/>
        <v>0.43103448275862072</v>
      </c>
      <c r="V20" s="6">
        <f t="shared" si="56"/>
        <v>0.35919540229885055</v>
      </c>
      <c r="W20" s="6">
        <f t="shared" si="56"/>
        <v>6.6091954022988425E-2</v>
      </c>
      <c r="X20" s="6">
        <f t="shared" si="56"/>
        <v>0.52586206896551779</v>
      </c>
      <c r="Y20" s="6">
        <f t="shared" si="56"/>
        <v>0.88505747126436785</v>
      </c>
      <c r="Z20" s="6">
        <f t="shared" ref="Z20" si="57">Z18/Z19</f>
        <v>0.60594369747899179</v>
      </c>
      <c r="AA20" s="6">
        <f t="shared" ref="AA20" si="58">AA18/AA19</f>
        <v>1.2499506452380948</v>
      </c>
      <c r="AB20" s="6">
        <f t="shared" ref="AB20" si="59">AB18/AB19</f>
        <v>1.3233691699523806</v>
      </c>
      <c r="AC20" s="6">
        <f t="shared" ref="AC20" si="60">AC18/AC19</f>
        <v>1.4553882230616664</v>
      </c>
      <c r="AD20" s="6">
        <f t="shared" ref="AD20" si="61">AD18/AD19</f>
        <v>1.5810771189453667</v>
      </c>
      <c r="AE20" s="6">
        <f t="shared" ref="AE20" si="62">AE18/AE19</f>
        <v>1.7017106041093015</v>
      </c>
      <c r="AF20" s="6">
        <f t="shared" ref="AF20" si="63">AF18/AF19</f>
        <v>1.802716658330257</v>
      </c>
      <c r="AG20" s="6">
        <f t="shared" ref="AG20" si="64">AG18/AG19</f>
        <v>1.8806547311987394</v>
      </c>
      <c r="AH20" s="6">
        <f t="shared" ref="AH20" si="65">AH18/AH19</f>
        <v>1.9202171084253761</v>
      </c>
      <c r="AI20" s="6">
        <f t="shared" ref="AI20" si="66">AI18/AI19</f>
        <v>1.9606272015311628</v>
      </c>
      <c r="AJ20" s="6">
        <f t="shared" ref="AJ20" si="67">AJ18/AJ19</f>
        <v>2.0019035583765503</v>
      </c>
    </row>
    <row r="22" spans="2:142" x14ac:dyDescent="0.3">
      <c r="B22" t="s">
        <v>44</v>
      </c>
      <c r="H22" s="9"/>
      <c r="I22" s="9"/>
      <c r="J22" s="9"/>
      <c r="K22" s="9"/>
      <c r="L22" s="9">
        <f t="shared" ref="L22:M22" si="68">L3/H3-1</f>
        <v>0.17307692307692313</v>
      </c>
      <c r="M22" s="9">
        <f t="shared" si="68"/>
        <v>0.36595744680851072</v>
      </c>
      <c r="N22" s="9">
        <f>N3/J3-1</f>
        <v>8.6153846153846025E-2</v>
      </c>
      <c r="O22" s="9">
        <f>O3/K3-1</f>
        <v>0.3904109589041096</v>
      </c>
      <c r="P22" s="9">
        <f>P3/L3-1</f>
        <v>0.29836065573770498</v>
      </c>
      <c r="Q22" s="9">
        <f t="shared" ref="Q22:R22" si="69">Q3/M3-1</f>
        <v>0.33000000000000007</v>
      </c>
      <c r="R22" s="9">
        <f t="shared" si="69"/>
        <v>0.30000000000000004</v>
      </c>
      <c r="T22" s="9"/>
      <c r="U22" s="9">
        <f>U3/T3-1</f>
        <v>0.45077720207253891</v>
      </c>
      <c r="V22" s="9">
        <f t="shared" ref="V22:Y22" si="70">V3/U3-1</f>
        <v>0.51071428571428568</v>
      </c>
      <c r="W22" s="9">
        <f t="shared" si="70"/>
        <v>0.8085106382978724</v>
      </c>
      <c r="X22" s="9">
        <f t="shared" si="70"/>
        <v>0.42091503267973862</v>
      </c>
      <c r="Y22" s="9">
        <f t="shared" si="70"/>
        <v>0.170193192272309</v>
      </c>
      <c r="Z22" s="9">
        <f t="shared" ref="Z22:AJ22" si="71">Z3/Y3-1</f>
        <v>0.32691037735849071</v>
      </c>
      <c r="AA22" s="9">
        <f t="shared" si="71"/>
        <v>0.16999999999999993</v>
      </c>
      <c r="AB22" s="9">
        <f t="shared" si="71"/>
        <v>9.000000000000008E-2</v>
      </c>
      <c r="AC22" s="9">
        <f t="shared" si="71"/>
        <v>7.0000000000000062E-2</v>
      </c>
      <c r="AD22" s="9">
        <f t="shared" si="71"/>
        <v>6.0000000000000053E-2</v>
      </c>
      <c r="AE22" s="9">
        <f t="shared" si="71"/>
        <v>5.0000000000000044E-2</v>
      </c>
      <c r="AF22" s="9">
        <f t="shared" si="71"/>
        <v>4.0000000000000036E-2</v>
      </c>
      <c r="AG22" s="9">
        <f t="shared" si="71"/>
        <v>3.0000000000000027E-2</v>
      </c>
      <c r="AH22" s="9">
        <f t="shared" si="71"/>
        <v>2.0000000000000018E-2</v>
      </c>
      <c r="AI22" s="9">
        <f t="shared" si="71"/>
        <v>2.0000000000000018E-2</v>
      </c>
      <c r="AJ22" s="9">
        <f t="shared" si="71"/>
        <v>2.0000000000000018E-2</v>
      </c>
    </row>
    <row r="23" spans="2:142" x14ac:dyDescent="0.3">
      <c r="B23" t="s">
        <v>45</v>
      </c>
      <c r="H23" s="9">
        <f t="shared" ref="H23:M23" si="72">H5/H3</f>
        <v>0.9653846153846154</v>
      </c>
      <c r="I23" s="9">
        <f t="shared" si="72"/>
        <v>0.91063829787234041</v>
      </c>
      <c r="J23" s="9">
        <f t="shared" si="72"/>
        <v>0.84307692307692306</v>
      </c>
      <c r="K23" s="9">
        <f t="shared" si="72"/>
        <v>0.92465753424657537</v>
      </c>
      <c r="L23" s="9">
        <f t="shared" si="72"/>
        <v>0.95409836065573772</v>
      </c>
      <c r="M23" s="9">
        <f t="shared" si="72"/>
        <v>0.9470404984423676</v>
      </c>
      <c r="N23" s="9">
        <f>N5/N3</f>
        <v>0.93767705382436251</v>
      </c>
      <c r="O23" s="9">
        <f>O5/O3</f>
        <v>0.94581280788177335</v>
      </c>
      <c r="P23" s="9">
        <f>P5/P3</f>
        <v>0.93181818181818177</v>
      </c>
      <c r="Q23" s="9">
        <f t="shared" ref="Q23:R23" si="73">Q5/Q3</f>
        <v>0.93</v>
      </c>
      <c r="R23" s="9">
        <f t="shared" si="73"/>
        <v>0.93</v>
      </c>
      <c r="T23" s="9">
        <f t="shared" ref="T23:Y23" si="74">T5/T3</f>
        <v>1</v>
      </c>
      <c r="U23" s="9">
        <f t="shared" si="74"/>
        <v>1</v>
      </c>
      <c r="V23" s="9">
        <f t="shared" si="74"/>
        <v>1</v>
      </c>
      <c r="W23" s="9">
        <f t="shared" si="74"/>
        <v>0.96078431372549022</v>
      </c>
      <c r="X23" s="9">
        <f t="shared" si="74"/>
        <v>0.91628334866605343</v>
      </c>
      <c r="Y23" s="9">
        <f t="shared" si="74"/>
        <v>0.94103773584905659</v>
      </c>
      <c r="Z23" s="9">
        <f t="shared" ref="Z23:AJ23" si="75">Z5/Z3</f>
        <v>0.93423028385560158</v>
      </c>
      <c r="AA23" s="9">
        <f t="shared" si="75"/>
        <v>0.94000000000000006</v>
      </c>
      <c r="AB23" s="9">
        <f t="shared" si="75"/>
        <v>0.94</v>
      </c>
      <c r="AC23" s="9">
        <f t="shared" si="75"/>
        <v>0.94</v>
      </c>
      <c r="AD23" s="9">
        <f t="shared" si="75"/>
        <v>0.94</v>
      </c>
      <c r="AE23" s="9">
        <f t="shared" si="75"/>
        <v>0.94</v>
      </c>
      <c r="AF23" s="9">
        <f t="shared" si="75"/>
        <v>0.94</v>
      </c>
      <c r="AG23" s="9">
        <f t="shared" si="75"/>
        <v>0.94</v>
      </c>
      <c r="AH23" s="9">
        <f t="shared" si="75"/>
        <v>0.94</v>
      </c>
      <c r="AI23" s="9">
        <f t="shared" si="75"/>
        <v>0.94</v>
      </c>
      <c r="AJ23" s="9">
        <f t="shared" si="75"/>
        <v>0.93999999999999984</v>
      </c>
    </row>
    <row r="24" spans="2:142" x14ac:dyDescent="0.3">
      <c r="B24" t="s">
        <v>46</v>
      </c>
      <c r="H24" s="9">
        <f t="shared" ref="H24:M24" si="76">H6/H3</f>
        <v>0.33461538461538459</v>
      </c>
      <c r="I24" s="9">
        <f t="shared" si="76"/>
        <v>0.36595744680851061</v>
      </c>
      <c r="J24" s="9">
        <f t="shared" si="76"/>
        <v>0.29846153846153844</v>
      </c>
      <c r="K24" s="9">
        <f t="shared" si="76"/>
        <v>0.32876712328767121</v>
      </c>
      <c r="L24" s="9">
        <f t="shared" si="76"/>
        <v>0.35081967213114751</v>
      </c>
      <c r="M24" s="9">
        <f t="shared" si="76"/>
        <v>0.3364485981308411</v>
      </c>
      <c r="N24" s="9">
        <f>N6/N3</f>
        <v>0.30878186968838528</v>
      </c>
      <c r="O24" s="9">
        <f>O6/O3</f>
        <v>0.37438423645320196</v>
      </c>
      <c r="P24" s="9">
        <f>P6/P3</f>
        <v>0.3888888888888889</v>
      </c>
      <c r="Q24" s="9">
        <f t="shared" ref="Q24:R24" si="77">Q6/Q3</f>
        <v>0.35134565385426181</v>
      </c>
      <c r="R24" s="9">
        <f t="shared" si="77"/>
        <v>0.32686859882327302</v>
      </c>
      <c r="T24" s="9">
        <f t="shared" ref="T24:Y24" si="78">T6/T3</f>
        <v>0.56476683937823835</v>
      </c>
      <c r="U24" s="9">
        <f t="shared" si="78"/>
        <v>0.28928571428571426</v>
      </c>
      <c r="V24" s="9">
        <f t="shared" si="78"/>
        <v>0.33333333333333337</v>
      </c>
      <c r="W24" s="9">
        <f t="shared" si="78"/>
        <v>0.44052287581699351</v>
      </c>
      <c r="X24" s="9">
        <f t="shared" si="78"/>
        <v>0.32474701011959517</v>
      </c>
      <c r="Y24" s="9">
        <f t="shared" si="78"/>
        <v>0.32940251572327039</v>
      </c>
      <c r="Z24" s="9">
        <f t="shared" ref="Z24:AJ24" si="79">Z6/Z3</f>
        <v>0.35904089866870476</v>
      </c>
      <c r="AA24" s="9">
        <f t="shared" si="79"/>
        <v>0.33</v>
      </c>
      <c r="AB24" s="9">
        <f t="shared" si="79"/>
        <v>0.32</v>
      </c>
      <c r="AC24" s="9">
        <f t="shared" si="79"/>
        <v>0.31</v>
      </c>
      <c r="AD24" s="9">
        <f t="shared" si="79"/>
        <v>0.31</v>
      </c>
      <c r="AE24" s="9">
        <f t="shared" si="79"/>
        <v>0.31</v>
      </c>
      <c r="AF24" s="9">
        <f t="shared" si="79"/>
        <v>0.31</v>
      </c>
      <c r="AG24" s="9">
        <f t="shared" si="79"/>
        <v>0.31</v>
      </c>
      <c r="AH24" s="9">
        <f t="shared" si="79"/>
        <v>0.31</v>
      </c>
      <c r="AI24" s="9">
        <f t="shared" si="79"/>
        <v>0.31</v>
      </c>
      <c r="AJ24" s="9">
        <f t="shared" si="79"/>
        <v>0.31</v>
      </c>
      <c r="AL24" t="s">
        <v>51</v>
      </c>
      <c r="AM24" s="9">
        <v>-0.01</v>
      </c>
    </row>
    <row r="25" spans="2:142" x14ac:dyDescent="0.3">
      <c r="B25" t="s">
        <v>47</v>
      </c>
      <c r="H25" s="9"/>
      <c r="I25" s="9"/>
      <c r="J25" s="9"/>
      <c r="K25" s="9"/>
      <c r="L25" s="9">
        <f t="shared" ref="L25:M25" si="80">L7/H7-1</f>
        <v>0.24</v>
      </c>
      <c r="M25" s="9">
        <f t="shared" si="80"/>
        <v>0.43999999999999995</v>
      </c>
      <c r="N25" s="9">
        <f t="shared" ref="N25:P26" si="81">N7/J7-1</f>
        <v>0.25806451612903225</v>
      </c>
      <c r="O25" s="9">
        <f t="shared" si="81"/>
        <v>0.625</v>
      </c>
      <c r="P25" s="9">
        <f t="shared" si="81"/>
        <v>0.96774193548387077</v>
      </c>
      <c r="Q25" s="9">
        <f t="shared" ref="Q25:R25" si="82">Q7/M7-1</f>
        <v>0.7777777777777779</v>
      </c>
      <c r="R25" s="9">
        <f t="shared" si="82"/>
        <v>0.74358974358974361</v>
      </c>
      <c r="T25" s="9"/>
      <c r="U25" s="9">
        <f>U7/T7-1</f>
        <v>0</v>
      </c>
      <c r="V25" s="9">
        <f t="shared" ref="V25:Y25" si="83">V7/U7-1</f>
        <v>0.56000000000000005</v>
      </c>
      <c r="W25" s="9">
        <f t="shared" si="83"/>
        <v>0.74358974358974361</v>
      </c>
      <c r="X25" s="9">
        <f t="shared" si="83"/>
        <v>0.51470588235294135</v>
      </c>
      <c r="Y25" s="9">
        <f t="shared" si="83"/>
        <v>0.34951456310679596</v>
      </c>
      <c r="Z25" s="9">
        <f t="shared" ref="Z25:AJ25" si="84">Z7/Y7-1</f>
        <v>0.7625899280575541</v>
      </c>
      <c r="AA25" s="9">
        <f t="shared" si="84"/>
        <v>0.39999999999999991</v>
      </c>
      <c r="AB25" s="9">
        <f t="shared" si="84"/>
        <v>0.19999999999999996</v>
      </c>
      <c r="AC25" s="9">
        <f t="shared" si="84"/>
        <v>0.10000000000000009</v>
      </c>
      <c r="AD25" s="9">
        <f t="shared" si="84"/>
        <v>5.0000000000000044E-2</v>
      </c>
      <c r="AE25" s="9">
        <f t="shared" si="84"/>
        <v>4.0000000000000036E-2</v>
      </c>
      <c r="AF25" s="9">
        <f t="shared" si="84"/>
        <v>3.0000000000000027E-2</v>
      </c>
      <c r="AG25" s="9">
        <f t="shared" si="84"/>
        <v>2.0000000000000018E-2</v>
      </c>
      <c r="AH25" s="9">
        <f t="shared" si="84"/>
        <v>2.0000000000000018E-2</v>
      </c>
      <c r="AI25" s="9">
        <f t="shared" si="84"/>
        <v>2.0000000000000018E-2</v>
      </c>
      <c r="AJ25" s="9">
        <f t="shared" si="84"/>
        <v>2.0000000000000018E-2</v>
      </c>
      <c r="AL25" t="s">
        <v>52</v>
      </c>
      <c r="AM25" s="9">
        <v>0.11</v>
      </c>
    </row>
    <row r="26" spans="2:142" x14ac:dyDescent="0.3">
      <c r="B26" t="s">
        <v>48</v>
      </c>
      <c r="H26" s="9"/>
      <c r="I26" s="9"/>
      <c r="J26" s="9"/>
      <c r="K26" s="9"/>
      <c r="L26" s="9">
        <f t="shared" ref="L26:M26" si="85">L8/H8-1</f>
        <v>-0.10144927536231885</v>
      </c>
      <c r="M26" s="9">
        <f t="shared" si="85"/>
        <v>0.25</v>
      </c>
      <c r="N26" s="9">
        <f t="shared" si="81"/>
        <v>0.28571428571428581</v>
      </c>
      <c r="O26" s="9">
        <f t="shared" si="81"/>
        <v>0.22222222222222232</v>
      </c>
      <c r="P26" s="9">
        <f t="shared" si="81"/>
        <v>0.35483870967741948</v>
      </c>
      <c r="Q26" s="9">
        <f t="shared" ref="Q26:R26" si="86">Q8/M8-1</f>
        <v>0.5</v>
      </c>
      <c r="R26" s="9">
        <f t="shared" si="86"/>
        <v>0.14999999999999991</v>
      </c>
      <c r="T26" s="9"/>
      <c r="U26" s="9">
        <f t="shared" ref="U26:Y26" si="87">U8/T8-1</f>
        <v>0.4285714285714286</v>
      </c>
      <c r="V26" s="9">
        <f t="shared" si="87"/>
        <v>1.1666666666666665</v>
      </c>
      <c r="W26" s="9">
        <f t="shared" si="87"/>
        <v>0.5</v>
      </c>
      <c r="X26" s="9">
        <f t="shared" si="87"/>
        <v>0.24615384615384617</v>
      </c>
      <c r="Y26" s="9">
        <f t="shared" si="87"/>
        <v>0.13580246913580241</v>
      </c>
      <c r="Z26" s="9">
        <f t="shared" ref="Z26:AJ26" si="88">Z8/Y8-1</f>
        <v>0.28442028985507251</v>
      </c>
      <c r="AA26" s="9">
        <f t="shared" si="88"/>
        <v>0.14999999999999991</v>
      </c>
      <c r="AB26" s="9">
        <f t="shared" si="88"/>
        <v>8.0000000000000071E-2</v>
      </c>
      <c r="AC26" s="9">
        <f t="shared" si="88"/>
        <v>5.0000000000000044E-2</v>
      </c>
      <c r="AD26" s="9">
        <f t="shared" si="88"/>
        <v>3.0000000000000027E-2</v>
      </c>
      <c r="AE26" s="9">
        <f t="shared" si="88"/>
        <v>2.0000000000000018E-2</v>
      </c>
      <c r="AF26" s="9">
        <f t="shared" si="88"/>
        <v>2.0000000000000018E-2</v>
      </c>
      <c r="AG26" s="9">
        <f t="shared" si="88"/>
        <v>2.0000000000000018E-2</v>
      </c>
      <c r="AH26" s="9">
        <f t="shared" si="88"/>
        <v>2.0000000000000018E-2</v>
      </c>
      <c r="AI26" s="9">
        <f t="shared" si="88"/>
        <v>2.0000000000000018E-2</v>
      </c>
      <c r="AJ26" s="9">
        <f t="shared" si="88"/>
        <v>2.0000000000000018E-2</v>
      </c>
      <c r="AL26" t="s">
        <v>53</v>
      </c>
      <c r="AM26" s="2">
        <f>NPV(AM25,Z18:EL18)</f>
        <v>511.78260029003911</v>
      </c>
    </row>
    <row r="27" spans="2:142" x14ac:dyDescent="0.3">
      <c r="B27" t="s">
        <v>49</v>
      </c>
      <c r="H27" s="9">
        <f t="shared" ref="H27:M27" si="89">H10/H3</f>
        <v>0.26923076923076922</v>
      </c>
      <c r="I27" s="9">
        <f t="shared" si="89"/>
        <v>0.23404255319148937</v>
      </c>
      <c r="J27" s="9">
        <f t="shared" si="89"/>
        <v>0.2338461538461539</v>
      </c>
      <c r="K27" s="9">
        <f t="shared" si="89"/>
        <v>0.27054794520547942</v>
      </c>
      <c r="L27" s="9">
        <f t="shared" si="89"/>
        <v>0.29836065573770498</v>
      </c>
      <c r="M27" s="9">
        <f t="shared" si="89"/>
        <v>0.31152647975077891</v>
      </c>
      <c r="N27" s="9">
        <f>N10/N3</f>
        <v>0.26345609065155789</v>
      </c>
      <c r="O27" s="9">
        <f>O10/O3</f>
        <v>0.2536945812807882</v>
      </c>
      <c r="P27" s="9">
        <f>P10/P3</f>
        <v>0.17676767676767677</v>
      </c>
      <c r="Q27" s="9">
        <f t="shared" ref="Q27:R27" si="90">Q10/Q3</f>
        <v>0.21793947485536289</v>
      </c>
      <c r="R27" s="9">
        <f t="shared" si="90"/>
        <v>0.22941163652211816</v>
      </c>
      <c r="T27" s="9">
        <f t="shared" ref="T27:Y27" si="91">T10/T3</f>
        <v>8.8082901554404111E-2</v>
      </c>
      <c r="U27" s="9">
        <f t="shared" si="91"/>
        <v>0.40714285714285708</v>
      </c>
      <c r="V27" s="9">
        <f t="shared" si="91"/>
        <v>0.26713947990543729</v>
      </c>
      <c r="W27" s="9">
        <f t="shared" si="91"/>
        <v>0.17647058823529413</v>
      </c>
      <c r="X27" s="9">
        <f t="shared" si="91"/>
        <v>0.27322907083716669</v>
      </c>
      <c r="Y27" s="9">
        <f t="shared" si="91"/>
        <v>0.285377358490566</v>
      </c>
      <c r="Z27" s="9">
        <f t="shared" ref="Z27:AJ27" si="92">Z10/Z3</f>
        <v>0.21999958526628868</v>
      </c>
      <c r="AA27" s="9">
        <f t="shared" si="92"/>
        <v>0.2298654105552311</v>
      </c>
      <c r="AB27" s="9">
        <f t="shared" si="92"/>
        <v>0.22423084023459661</v>
      </c>
      <c r="AC27" s="9">
        <f t="shared" si="92"/>
        <v>0.23269286022166347</v>
      </c>
      <c r="AD27" s="9">
        <f t="shared" si="92"/>
        <v>0.24022831216211504</v>
      </c>
      <c r="AE27" s="9">
        <f t="shared" si="92"/>
        <v>0.24765555634895214</v>
      </c>
      <c r="AF27" s="9">
        <f t="shared" si="92"/>
        <v>0.25315378923577819</v>
      </c>
      <c r="AG27" s="9">
        <f t="shared" si="92"/>
        <v>0.25681249031115899</v>
      </c>
      <c r="AH27" s="9">
        <f t="shared" si="92"/>
        <v>0.25681249031115905</v>
      </c>
      <c r="AI27" s="9">
        <f t="shared" si="92"/>
        <v>0.25681249031115894</v>
      </c>
      <c r="AJ27" s="9">
        <f t="shared" si="92"/>
        <v>0.25681249031115894</v>
      </c>
      <c r="AL27" t="s">
        <v>57</v>
      </c>
      <c r="AM27" s="2">
        <f>Main!D8</f>
        <v>-71.5</v>
      </c>
    </row>
    <row r="28" spans="2:142" x14ac:dyDescent="0.3">
      <c r="B28" t="s">
        <v>25</v>
      </c>
      <c r="H28" s="9">
        <f t="shared" ref="H28:M28" si="93">H17/H16</f>
        <v>0.6</v>
      </c>
      <c r="I28" s="9">
        <f t="shared" si="93"/>
        <v>5.4545454545454543E-2</v>
      </c>
      <c r="J28" s="9">
        <f t="shared" si="93"/>
        <v>-3.2786885245901634E-2</v>
      </c>
      <c r="K28" s="9">
        <f t="shared" si="93"/>
        <v>0.13095238095238099</v>
      </c>
      <c r="L28" s="9">
        <f t="shared" si="93"/>
        <v>9.0909090909090884E-2</v>
      </c>
      <c r="M28" s="9">
        <f t="shared" si="93"/>
        <v>6.5934065934065908E-2</v>
      </c>
      <c r="N28" s="9">
        <f>N17/N16</f>
        <v>0.12087912087912096</v>
      </c>
      <c r="O28" s="9">
        <f>O17/O16</f>
        <v>-2.7522935779816512E-2</v>
      </c>
      <c r="P28" s="9">
        <f>P17/P16</f>
        <v>-9.8360655737704916E-2</v>
      </c>
      <c r="Q28" s="9">
        <f t="shared" ref="Q28:R28" si="94">Q17/Q16</f>
        <v>0</v>
      </c>
      <c r="R28" s="9">
        <f t="shared" si="94"/>
        <v>0</v>
      </c>
      <c r="T28" s="9">
        <f t="shared" ref="T28:Y28" si="95">T17/T16</f>
        <v>-0.81818181818181779</v>
      </c>
      <c r="U28" s="9">
        <f t="shared" si="95"/>
        <v>-0.40186915887850466</v>
      </c>
      <c r="V28" s="9">
        <f t="shared" si="95"/>
        <v>-2.4590163934426233E-2</v>
      </c>
      <c r="W28" s="9">
        <f t="shared" si="95"/>
        <v>0.17857142857142874</v>
      </c>
      <c r="X28" s="9">
        <f t="shared" si="95"/>
        <v>9.4059405940593976E-2</v>
      </c>
      <c r="Y28" s="9">
        <f t="shared" si="95"/>
        <v>0.10204081632653061</v>
      </c>
      <c r="Z28" s="9">
        <f t="shared" ref="Z28:AJ28" si="96">Z17/Z16</f>
        <v>3.9942855088653154E-2</v>
      </c>
      <c r="AA28" s="9">
        <f t="shared" si="96"/>
        <v>0.15</v>
      </c>
      <c r="AB28" s="9">
        <f t="shared" si="96"/>
        <v>0.15</v>
      </c>
      <c r="AC28" s="9">
        <f t="shared" si="96"/>
        <v>0.15</v>
      </c>
      <c r="AD28" s="9">
        <f t="shared" si="96"/>
        <v>0.15</v>
      </c>
      <c r="AE28" s="9">
        <f t="shared" si="96"/>
        <v>0.15</v>
      </c>
      <c r="AF28" s="9">
        <f t="shared" si="96"/>
        <v>0.15</v>
      </c>
      <c r="AG28" s="9">
        <f t="shared" si="96"/>
        <v>0.15</v>
      </c>
      <c r="AH28" s="9">
        <f t="shared" si="96"/>
        <v>0.15</v>
      </c>
      <c r="AI28" s="9">
        <f t="shared" si="96"/>
        <v>0.15</v>
      </c>
      <c r="AJ28" s="9">
        <f t="shared" si="96"/>
        <v>0.15</v>
      </c>
      <c r="AL28" t="s">
        <v>54</v>
      </c>
      <c r="AM28" s="2">
        <f>AM26+AM27</f>
        <v>440.28260029003911</v>
      </c>
    </row>
    <row r="29" spans="2:142" x14ac:dyDescent="0.3">
      <c r="B29" t="s">
        <v>50</v>
      </c>
      <c r="H29" s="9">
        <f t="shared" ref="H29:M29" si="97">H18/H3</f>
        <v>1.5384615384615385E-2</v>
      </c>
      <c r="I29" s="9">
        <f t="shared" si="97"/>
        <v>0.22127659574468087</v>
      </c>
      <c r="J29" s="9">
        <f t="shared" si="97"/>
        <v>0.19384615384615389</v>
      </c>
      <c r="K29" s="9">
        <f t="shared" si="97"/>
        <v>0.24999999999999997</v>
      </c>
      <c r="L29" s="9">
        <f t="shared" si="97"/>
        <v>0.22950819672131151</v>
      </c>
      <c r="M29" s="9">
        <f t="shared" si="97"/>
        <v>0.26479750778816208</v>
      </c>
      <c r="N29" s="9">
        <f>N18/N3</f>
        <v>0.22662889518413584</v>
      </c>
      <c r="O29" s="9">
        <f>O18/O3</f>
        <v>0.27586206896551724</v>
      </c>
      <c r="P29" s="9">
        <f>P18/P3</f>
        <v>-0.33838383838383834</v>
      </c>
      <c r="Q29" s="9">
        <f t="shared" ref="Q29:R29" si="98">Q18/Q3</f>
        <v>0.26478556203593112</v>
      </c>
      <c r="R29" s="9">
        <f t="shared" si="98"/>
        <v>0.27299411636522125</v>
      </c>
      <c r="T29" s="9">
        <f t="shared" ref="T29:Y29" si="99">T18/T3</f>
        <v>-0.10362694300518137</v>
      </c>
      <c r="U29" s="9">
        <f t="shared" si="99"/>
        <v>0.5357142857142857</v>
      </c>
      <c r="V29" s="9">
        <f t="shared" si="99"/>
        <v>0.29550827423167847</v>
      </c>
      <c r="W29" s="9">
        <f t="shared" si="99"/>
        <v>3.0065359477124146E-2</v>
      </c>
      <c r="X29" s="9">
        <f t="shared" si="99"/>
        <v>0.16835326586936539</v>
      </c>
      <c r="Y29" s="9">
        <f t="shared" si="99"/>
        <v>0.24213836477987419</v>
      </c>
      <c r="Z29" s="9">
        <f t="shared" ref="Z29:AJ29" si="100">Z18/Z3</f>
        <v>0.12816569204244507</v>
      </c>
      <c r="AA29" s="9">
        <f t="shared" si="100"/>
        <v>0.22596777926707176</v>
      </c>
      <c r="AB29" s="9">
        <f t="shared" si="100"/>
        <v>0.2194866790029957</v>
      </c>
      <c r="AC29" s="9">
        <f t="shared" si="100"/>
        <v>0.2255912408973379</v>
      </c>
      <c r="AD29" s="9">
        <f t="shared" si="100"/>
        <v>0.23120145627687386</v>
      </c>
      <c r="AE29" s="9">
        <f t="shared" si="100"/>
        <v>0.23699212639371053</v>
      </c>
      <c r="AF29" s="9">
        <f t="shared" si="100"/>
        <v>0.24140282335687516</v>
      </c>
      <c r="AG29" s="9">
        <f t="shared" si="100"/>
        <v>0.24450442278564574</v>
      </c>
      <c r="AH29" s="9">
        <f t="shared" si="100"/>
        <v>0.24475288038431578</v>
      </c>
      <c r="AI29" s="9">
        <f t="shared" si="100"/>
        <v>0.24500352265063211</v>
      </c>
      <c r="AJ29" s="9">
        <f t="shared" si="100"/>
        <v>0.24525636361492983</v>
      </c>
      <c r="AL29" t="s">
        <v>55</v>
      </c>
      <c r="AM29" s="1">
        <f>AM28/AJ19</f>
        <v>12.332845946499694</v>
      </c>
    </row>
    <row r="30" spans="2:142" x14ac:dyDescent="0.3">
      <c r="AL30" t="s">
        <v>56</v>
      </c>
      <c r="AM30" s="1">
        <f>Main!D3</f>
        <v>8.02</v>
      </c>
    </row>
    <row r="31" spans="2:142" x14ac:dyDescent="0.3">
      <c r="AL31" s="7" t="s">
        <v>58</v>
      </c>
      <c r="AM31" s="10">
        <f>AM29/AM30-1</f>
        <v>0.53776133996255537</v>
      </c>
    </row>
    <row r="32" spans="2:142" x14ac:dyDescent="0.3">
      <c r="AL32" t="s">
        <v>59</v>
      </c>
      <c r="AM32" s="5" t="s">
        <v>60</v>
      </c>
    </row>
  </sheetData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2025-03-27T08:46:41Z</dcterms:created>
  <dcterms:modified xsi:type="dcterms:W3CDTF">2025-09-10T16:05:59Z</dcterms:modified>
</cp:coreProperties>
</file>