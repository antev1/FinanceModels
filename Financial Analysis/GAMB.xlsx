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29F8979-8BC3-4807-8B5D-2B0E68B1469E}" xr6:coauthVersionLast="47" xr6:coauthVersionMax="47" xr10:uidLastSave="{00000000-0000-0000-0000-000000000000}"/>
  <bookViews>
    <workbookView xWindow="-108" yWindow="-108" windowWidth="23256" windowHeight="12576" activeTab="1" xr2:uid="{D6459E68-7D6A-410F-A9B8-1584227EFFA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26" i="2" l="1"/>
  <c r="AB3" i="2"/>
  <c r="AA3" i="2"/>
  <c r="AA5" i="2" s="1"/>
  <c r="AA4" i="2" s="1"/>
  <c r="AI7" i="2"/>
  <c r="AJ7" i="2" s="1"/>
  <c r="AH7" i="2"/>
  <c r="AG7" i="2"/>
  <c r="AF7" i="2"/>
  <c r="AB7" i="2"/>
  <c r="AA7" i="2"/>
  <c r="K15" i="2"/>
  <c r="K9" i="2"/>
  <c r="K5" i="2"/>
  <c r="O28" i="2"/>
  <c r="O27" i="2"/>
  <c r="O26" i="2"/>
  <c r="O25" i="2"/>
  <c r="O24" i="2"/>
  <c r="O23" i="2"/>
  <c r="O22" i="2"/>
  <c r="O19" i="2"/>
  <c r="O15" i="2"/>
  <c r="O9" i="2"/>
  <c r="O5" i="2"/>
  <c r="D7" i="1"/>
  <c r="D8" i="1" s="1"/>
  <c r="AM27" i="2" s="1"/>
  <c r="D6" i="1"/>
  <c r="D4" i="1"/>
  <c r="D5" i="1"/>
  <c r="AM30" i="2"/>
  <c r="AA14" i="2"/>
  <c r="AB14" i="2" s="1"/>
  <c r="AC14" i="2" s="1"/>
  <c r="AD14" i="2" s="1"/>
  <c r="AE14" i="2" s="1"/>
  <c r="AF14" i="2" s="1"/>
  <c r="AG14" i="2" s="1"/>
  <c r="AH14" i="2" s="1"/>
  <c r="AI14" i="2" s="1"/>
  <c r="AJ14" i="2" s="1"/>
  <c r="Z14" i="2"/>
  <c r="Z13" i="2"/>
  <c r="AA13" i="2" s="1"/>
  <c r="AB13" i="2" s="1"/>
  <c r="AC13" i="2" s="1"/>
  <c r="AD13" i="2" s="1"/>
  <c r="AE13" i="2" s="1"/>
  <c r="AF13" i="2" s="1"/>
  <c r="AG13" i="2" s="1"/>
  <c r="AH13" i="2" s="1"/>
  <c r="AI13" i="2" s="1"/>
  <c r="AJ13" i="2" s="1"/>
  <c r="Z11" i="2"/>
  <c r="AA11" i="2" s="1"/>
  <c r="Z9" i="2"/>
  <c r="Z8" i="2"/>
  <c r="Z26" i="2" s="1"/>
  <c r="Z7" i="2"/>
  <c r="Z6" i="2"/>
  <c r="Z24" i="2" s="1"/>
  <c r="Z23" i="2"/>
  <c r="Z22" i="2"/>
  <c r="Z5" i="2"/>
  <c r="Z4" i="2" s="1"/>
  <c r="Y26" i="2"/>
  <c r="X26" i="2"/>
  <c r="W26" i="2"/>
  <c r="V26" i="2"/>
  <c r="U26" i="2"/>
  <c r="Y25" i="2"/>
  <c r="X25" i="2"/>
  <c r="W25" i="2"/>
  <c r="V25" i="2"/>
  <c r="U25" i="2"/>
  <c r="Y22" i="2"/>
  <c r="X22" i="2"/>
  <c r="W22" i="2"/>
  <c r="V22" i="2"/>
  <c r="U22" i="2"/>
  <c r="Y24" i="2"/>
  <c r="X24" i="2"/>
  <c r="W24" i="2"/>
  <c r="V24" i="2"/>
  <c r="U24" i="2"/>
  <c r="T24" i="2"/>
  <c r="W23" i="2"/>
  <c r="T15" i="2"/>
  <c r="T9" i="2"/>
  <c r="T5" i="2"/>
  <c r="T23" i="2" s="1"/>
  <c r="U15" i="2"/>
  <c r="U9" i="2"/>
  <c r="U5" i="2"/>
  <c r="U23" i="2" s="1"/>
  <c r="V15" i="2"/>
  <c r="V9" i="2"/>
  <c r="V5" i="2"/>
  <c r="V23" i="2" s="1"/>
  <c r="J24" i="2"/>
  <c r="N26" i="2"/>
  <c r="N25" i="2"/>
  <c r="N24" i="2"/>
  <c r="N23" i="2"/>
  <c r="N22" i="2"/>
  <c r="J15" i="2"/>
  <c r="J9" i="2"/>
  <c r="J5" i="2"/>
  <c r="J23" i="2" s="1"/>
  <c r="N15" i="2"/>
  <c r="N9" i="2"/>
  <c r="N5" i="2"/>
  <c r="W15" i="2"/>
  <c r="W9" i="2"/>
  <c r="W5" i="2"/>
  <c r="X15" i="2"/>
  <c r="X9" i="2"/>
  <c r="X5" i="2"/>
  <c r="X23" i="2" s="1"/>
  <c r="Y15" i="2"/>
  <c r="Y9" i="2"/>
  <c r="Y10" i="2" s="1"/>
  <c r="Y16" i="2" s="1"/>
  <c r="Y5" i="2"/>
  <c r="Y23" i="2" s="1"/>
  <c r="F3" i="1"/>
  <c r="AC7" i="2" l="1"/>
  <c r="AD7" i="2" s="1"/>
  <c r="AE7" i="2" s="1"/>
  <c r="K10" i="2"/>
  <c r="K16" i="2" s="1"/>
  <c r="K18" i="2" s="1"/>
  <c r="K20" i="2" s="1"/>
  <c r="O10" i="2"/>
  <c r="O16" i="2" s="1"/>
  <c r="O18" i="2" s="1"/>
  <c r="D9" i="1"/>
  <c r="AC3" i="2"/>
  <c r="AC22" i="2" s="1"/>
  <c r="AB5" i="2"/>
  <c r="AB4" i="2" s="1"/>
  <c r="AB6" i="2"/>
  <c r="AB24" i="2" s="1"/>
  <c r="AB11" i="2"/>
  <c r="AA15" i="2"/>
  <c r="Z15" i="2"/>
  <c r="Z10" i="2"/>
  <c r="Z27" i="2" s="1"/>
  <c r="AA6" i="2"/>
  <c r="AA24" i="2" s="1"/>
  <c r="AA8" i="2"/>
  <c r="AB8" i="2" s="1"/>
  <c r="AC8" i="2" s="1"/>
  <c r="Y18" i="2"/>
  <c r="Y28" i="2"/>
  <c r="Y27" i="2"/>
  <c r="AD8" i="2"/>
  <c r="AE8" i="2" s="1"/>
  <c r="AF8" i="2" s="1"/>
  <c r="AG8" i="2" s="1"/>
  <c r="AH8" i="2" s="1"/>
  <c r="AI8" i="2" s="1"/>
  <c r="AJ8" i="2" s="1"/>
  <c r="AA26" i="2"/>
  <c r="AB26" i="2"/>
  <c r="AB25" i="2"/>
  <c r="AA25" i="2"/>
  <c r="Z25" i="2"/>
  <c r="AA22" i="2"/>
  <c r="AB22" i="2"/>
  <c r="AA23" i="2"/>
  <c r="T10" i="2"/>
  <c r="U10" i="2"/>
  <c r="V10" i="2"/>
  <c r="J10" i="2"/>
  <c r="N10" i="2"/>
  <c r="W10" i="2"/>
  <c r="X10" i="2"/>
  <c r="AB23" i="2" l="1"/>
  <c r="O20" i="2"/>
  <c r="O29" i="2"/>
  <c r="W16" i="2"/>
  <c r="W27" i="2"/>
  <c r="Z16" i="2"/>
  <c r="N16" i="2"/>
  <c r="N27" i="2"/>
  <c r="X16" i="2"/>
  <c r="X27" i="2"/>
  <c r="J16" i="2"/>
  <c r="J27" i="2"/>
  <c r="U16" i="2"/>
  <c r="U27" i="2"/>
  <c r="AB9" i="2"/>
  <c r="AB10" i="2" s="1"/>
  <c r="AB27" i="2" s="1"/>
  <c r="AC11" i="2"/>
  <c r="AB15" i="2"/>
  <c r="T16" i="2"/>
  <c r="T27" i="2"/>
  <c r="V16" i="2"/>
  <c r="V27" i="2"/>
  <c r="AA9" i="2"/>
  <c r="AA10" i="2" s="1"/>
  <c r="AC6" i="2"/>
  <c r="AC5" i="2"/>
  <c r="AC23" i="2" s="1"/>
  <c r="AD3" i="2"/>
  <c r="Y20" i="2"/>
  <c r="Y29" i="2"/>
  <c r="AC26" i="2"/>
  <c r="AC25" i="2"/>
  <c r="AC4" i="2" l="1"/>
  <c r="AD5" i="2"/>
  <c r="AD23" i="2" s="1"/>
  <c r="AE3" i="2"/>
  <c r="AD6" i="2"/>
  <c r="AD22" i="2"/>
  <c r="J18" i="2"/>
  <c r="J28" i="2"/>
  <c r="T18" i="2"/>
  <c r="T28" i="2"/>
  <c r="Z17" i="2"/>
  <c r="Z28" i="2" s="1"/>
  <c r="AB16" i="2"/>
  <c r="AC9" i="2"/>
  <c r="AC10" i="2" s="1"/>
  <c r="AC24" i="2"/>
  <c r="AA16" i="2"/>
  <c r="AA17" i="2" s="1"/>
  <c r="AA27" i="2"/>
  <c r="U18" i="2"/>
  <c r="U28" i="2"/>
  <c r="X18" i="2"/>
  <c r="X28" i="2"/>
  <c r="AD11" i="2"/>
  <c r="AC15" i="2"/>
  <c r="N18" i="2"/>
  <c r="N28" i="2"/>
  <c r="V18" i="2"/>
  <c r="V28" i="2"/>
  <c r="W18" i="2"/>
  <c r="W28" i="2"/>
  <c r="AD26" i="2"/>
  <c r="AD25" i="2"/>
  <c r="N20" i="2" l="1"/>
  <c r="N29" i="2"/>
  <c r="AC16" i="2"/>
  <c r="AC27" i="2"/>
  <c r="AE5" i="2"/>
  <c r="AF3" i="2"/>
  <c r="AE6" i="2"/>
  <c r="AE22" i="2"/>
  <c r="W20" i="2"/>
  <c r="W29" i="2"/>
  <c r="Z18" i="2"/>
  <c r="AE11" i="2"/>
  <c r="AD15" i="2"/>
  <c r="AB17" i="2"/>
  <c r="AB18" i="2" s="1"/>
  <c r="X20" i="2"/>
  <c r="X29" i="2"/>
  <c r="V20" i="2"/>
  <c r="V29" i="2"/>
  <c r="AD4" i="2"/>
  <c r="AA18" i="2"/>
  <c r="AA28" i="2"/>
  <c r="J20" i="2"/>
  <c r="J29" i="2"/>
  <c r="AD9" i="2"/>
  <c r="AD10" i="2" s="1"/>
  <c r="AD27" i="2" s="1"/>
  <c r="AD24" i="2"/>
  <c r="U20" i="2"/>
  <c r="U29" i="2"/>
  <c r="T20" i="2"/>
  <c r="T29" i="2"/>
  <c r="AE26" i="2"/>
  <c r="AE25" i="2"/>
  <c r="AD16" i="2" l="1"/>
  <c r="AD17" i="2" s="1"/>
  <c r="AD18" i="2" s="1"/>
  <c r="AG3" i="2"/>
  <c r="AF5" i="2"/>
  <c r="AF4" i="2"/>
  <c r="AF6" i="2"/>
  <c r="AF22" i="2"/>
  <c r="AB28" i="2"/>
  <c r="AF11" i="2"/>
  <c r="AE15" i="2"/>
  <c r="Z20" i="2"/>
  <c r="Z29" i="2"/>
  <c r="AC17" i="2"/>
  <c r="AC18" i="2" s="1"/>
  <c r="AE9" i="2"/>
  <c r="AE10" i="2" s="1"/>
  <c r="AE24" i="2"/>
  <c r="AA20" i="2"/>
  <c r="AA29" i="2"/>
  <c r="AE4" i="2"/>
  <c r="AE23" i="2"/>
  <c r="AB20" i="2"/>
  <c r="AB29" i="2"/>
  <c r="AF26" i="2"/>
  <c r="AF25" i="2"/>
  <c r="AG11" i="2" l="1"/>
  <c r="AF15" i="2"/>
  <c r="AF9" i="2"/>
  <c r="AF10" i="2" s="1"/>
  <c r="AF27" i="2" s="1"/>
  <c r="AF24" i="2"/>
  <c r="AE16" i="2"/>
  <c r="AE27" i="2"/>
  <c r="AD20" i="2"/>
  <c r="AD29" i="2"/>
  <c r="AF23" i="2"/>
  <c r="AC20" i="2"/>
  <c r="AC29" i="2"/>
  <c r="AC28" i="2"/>
  <c r="AD28" i="2"/>
  <c r="AH3" i="2"/>
  <c r="AG6" i="2"/>
  <c r="AG5" i="2"/>
  <c r="AG23" i="2" s="1"/>
  <c r="AG22" i="2"/>
  <c r="AG26" i="2"/>
  <c r="AG25" i="2"/>
  <c r="AG4" i="2" l="1"/>
  <c r="AE17" i="2"/>
  <c r="AE28" i="2" s="1"/>
  <c r="AG9" i="2"/>
  <c r="AG10" i="2" s="1"/>
  <c r="AG27" i="2" s="1"/>
  <c r="AG24" i="2"/>
  <c r="AI3" i="2"/>
  <c r="AH6" i="2"/>
  <c r="AH5" i="2"/>
  <c r="AH4" i="2"/>
  <c r="AH22" i="2"/>
  <c r="AF16" i="2"/>
  <c r="AH11" i="2"/>
  <c r="AG15" i="2"/>
  <c r="AH26" i="2"/>
  <c r="AH25" i="2"/>
  <c r="AE18" i="2" l="1"/>
  <c r="AE20" i="2" s="1"/>
  <c r="AG16" i="2"/>
  <c r="AG17" i="2" s="1"/>
  <c r="AG18" i="2" s="1"/>
  <c r="AH23" i="2"/>
  <c r="AH9" i="2"/>
  <c r="AH10" i="2" s="1"/>
  <c r="AH27" i="2" s="1"/>
  <c r="AH24" i="2"/>
  <c r="AI11" i="2"/>
  <c r="AH15" i="2"/>
  <c r="AJ3" i="2"/>
  <c r="AI6" i="2"/>
  <c r="AI5" i="2"/>
  <c r="AI22" i="2"/>
  <c r="AF17" i="2"/>
  <c r="AF18" i="2" s="1"/>
  <c r="AJ26" i="2"/>
  <c r="AI26" i="2"/>
  <c r="AJ25" i="2"/>
  <c r="AI25" i="2"/>
  <c r="AE29" i="2" l="1"/>
  <c r="AF20" i="2"/>
  <c r="AF29" i="2"/>
  <c r="AH16" i="2"/>
  <c r="AH17" i="2" s="1"/>
  <c r="AF28" i="2"/>
  <c r="AJ11" i="2"/>
  <c r="AJ15" i="2" s="1"/>
  <c r="AI15" i="2"/>
  <c r="AG20" i="2"/>
  <c r="AG29" i="2"/>
  <c r="AI4" i="2"/>
  <c r="AI23" i="2"/>
  <c r="AI9" i="2"/>
  <c r="AI10" i="2" s="1"/>
  <c r="AI24" i="2"/>
  <c r="AJ6" i="2"/>
  <c r="AJ5" i="2"/>
  <c r="AJ4" i="2" s="1"/>
  <c r="AJ22" i="2"/>
  <c r="AG28" i="2"/>
  <c r="AI16" i="2" l="1"/>
  <c r="AI17" i="2" s="1"/>
  <c r="AI27" i="2"/>
  <c r="AJ23" i="2"/>
  <c r="AH18" i="2"/>
  <c r="AH28" i="2"/>
  <c r="AJ9" i="2"/>
  <c r="AJ10" i="2" s="1"/>
  <c r="AJ24" i="2"/>
  <c r="AJ27" i="2" l="1"/>
  <c r="AJ16" i="2"/>
  <c r="AH20" i="2"/>
  <c r="AH29" i="2"/>
  <c r="AI18" i="2"/>
  <c r="AI28" i="2"/>
  <c r="AI20" i="2" l="1"/>
  <c r="AI29" i="2"/>
  <c r="AJ17" i="2"/>
  <c r="AJ18" i="2" s="1"/>
  <c r="AJ20" i="2" l="1"/>
  <c r="AK18" i="2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AM28" i="2" s="1"/>
  <c r="AM29" i="2" s="1"/>
  <c r="AM31" i="2" s="1"/>
  <c r="AJ29" i="2"/>
  <c r="AJ28" i="2"/>
</calcChain>
</file>

<file path=xl/sharedStrings.xml><?xml version="1.0" encoding="utf-8"?>
<sst xmlns="http://schemas.openxmlformats.org/spreadsheetml/2006/main" count="66" uniqueCount="62">
  <si>
    <t>GAMB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</si>
  <si>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</si>
  <si>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</si>
  <si>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</si>
  <si>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</si>
  <si>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</si>
  <si>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</si>
  <si>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</si>
  <si>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</si>
  <si>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</si>
  <si>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</si>
  <si>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</si>
  <si>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</si>
  <si>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</si>
  <si>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S&amp;M</t>
  </si>
  <si>
    <t>R&amp;D</t>
  </si>
  <si>
    <t>G&amp;A</t>
  </si>
  <si>
    <t>Operating profit</t>
  </si>
  <si>
    <t>Total operating expenses</t>
  </si>
  <si>
    <t>Debt expense</t>
  </si>
  <si>
    <t>Fair value expense</t>
  </si>
  <si>
    <t>Finance income</t>
  </si>
  <si>
    <t>Finance expense</t>
  </si>
  <si>
    <t>Net finance expense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</si>
  <si>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</si>
  <si>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</si>
  <si>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</si>
  <si>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</si>
  <si>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</si>
  <si>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</si>
  <si>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</si>
  <si>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</si>
  <si>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</si>
  <si>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</si>
  <si>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</si>
  <si>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</si>
  <si>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</si>
  <si>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</si>
  <si>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</si>
  <si>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</si>
  <si>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</si>
  <si>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</si>
  <si>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</si>
  <si>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</si>
  <si>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Revenue y/y</t>
  </si>
  <si>
    <t>Gross Margin</t>
  </si>
  <si>
    <t>S&amp;M Margin</t>
  </si>
  <si>
    <t>R&amp;D y/y</t>
  </si>
  <si>
    <t>G&amp;A y/y</t>
  </si>
  <si>
    <t>Operating Margin</t>
  </si>
  <si>
    <t>Net Margin</t>
  </si>
  <si>
    <t>Maturity</t>
  </si>
  <si>
    <t>Discount rate</t>
  </si>
  <si>
    <t>NPV</t>
  </si>
  <si>
    <t>Value</t>
  </si>
  <si>
    <t>Per share</t>
  </si>
  <si>
    <t>Current price</t>
  </si>
  <si>
    <t>Net cash</t>
  </si>
  <si>
    <t>Variance</t>
  </si>
  <si>
    <t>Consensus</t>
  </si>
  <si>
    <t>Heavily undervalued</t>
  </si>
  <si>
    <t>Q125 6K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</si>
</sst>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15240</xdr:colOff>
      <xdr:row>0</xdr:row>
      <xdr:rowOff>7620</xdr:rowOff>
    </xdr:from>
    <xdr:to>
      <xdr:col>25</xdr:col>
      <xdr:colOff>15240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0B2AB9E-DD42-6415-C9E4-F63B187D93FE}"/>
            </a:ext>
          </a:extLst>
        </xdr:cNvPr>
        <xdr:cNvCxnSpPr/>
      </xdr:nvCxnSpPr>
      <xdr:spPr>
        <a:xfrm>
          <a:off x="1613154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22860</xdr:colOff>
      <xdr:row>0</xdr:row>
      <xdr:rowOff>7620</xdr:rowOff>
    </xdr:from>
    <xdr:to>
      <xdr:col>14</xdr:col>
      <xdr:colOff>22860</xdr:colOff>
      <xdr:row>33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F1B35D1-099F-1556-358B-853D4DA27A87}"/>
            </a:ext>
          </a:extLst>
        </xdr:cNvPr>
        <xdr:cNvCxnSpPr/>
      </xdr:nvCxnSpPr>
      <xdr:spPr>
        <a:xfrm>
          <a:off x="94335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E6E28-0C73-4DD0-9BF9-EE6D3C158FE9}">
  <dimension ref="B2:G9"/>
  <sheetViews>
    <sheetView workbookViewId="0">
      <selection activeCell="D4" sqref="D4"/>
    </sheetView>
  </sheetViews>
  <sheetFormatPr defaultRowHeight="14.4" x14ac:dyDescent="0.3"/>
  <cols>
    <col min="5" max="7" width="13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7" t="s">
        <v>0</v>
      </c>
      <c r="C3" t="s">
        <v>1</v>
      </c>
      <c r="D3" s="1">
        <v>12.02</v>
      </c>
      <c r="E3" s="4">
        <v>45804</v>
      </c>
      <c r="F3" s="4">
        <f ca="1">TODAY()</f>
        <v>45804</v>
      </c>
      <c r="G3" s="4">
        <v>45883</v>
      </c>
    </row>
    <row r="4" spans="2:7" x14ac:dyDescent="0.3">
      <c r="C4" t="s">
        <v>2</v>
      </c>
      <c r="D4" s="2">
        <f>35.6</f>
        <v>35.6</v>
      </c>
      <c r="E4" s="3" t="s">
        <v>61</v>
      </c>
    </row>
    <row r="5" spans="2:7" x14ac:dyDescent="0.3">
      <c r="C5" t="s">
        <v>3</v>
      </c>
      <c r="D5" s="2">
        <f>D3*D4</f>
        <v>427.91199999999998</v>
      </c>
    </row>
    <row r="6" spans="2:7" x14ac:dyDescent="0.3">
      <c r="C6" t="s">
        <v>4</v>
      </c>
      <c r="D6" s="2">
        <f>21.5</f>
        <v>21.5</v>
      </c>
      <c r="E6" s="3" t="s">
        <v>40</v>
      </c>
    </row>
    <row r="7" spans="2:7" x14ac:dyDescent="0.3">
      <c r="C7" t="s">
        <v>5</v>
      </c>
      <c r="D7" s="2">
        <f>10.4+78.1</f>
        <v>88.5</v>
      </c>
      <c r="E7" s="3" t="s">
        <v>40</v>
      </c>
    </row>
    <row r="8" spans="2:7" x14ac:dyDescent="0.3">
      <c r="C8" t="s">
        <v>6</v>
      </c>
      <c r="D8" s="2">
        <f>D6-D7</f>
        <v>-67</v>
      </c>
    </row>
    <row r="9" spans="2:7" x14ac:dyDescent="0.3">
      <c r="C9" t="s">
        <v>7</v>
      </c>
      <c r="D9" s="2">
        <f>D5-D8</f>
        <v>494.91199999999998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43BE1-3816-4557-867E-C0ACDC26617E}">
  <dimension ref="B2:EL32"/>
  <sheetViews>
    <sheetView tabSelected="1" workbookViewId="0">
      <pane xSplit="2" ySplit="2" topLeftCell="V9" activePane="bottomRight" state="frozen"/>
      <selection pane="topRight" activeCell="C1" sqref="C1"/>
      <selection pane="bottomLeft" activeCell="A3" sqref="A3"/>
      <selection pane="bottomRight" activeCell="AM27" sqref="AM27"/>
    </sheetView>
  </sheetViews>
  <sheetFormatPr defaultRowHeight="14.4" x14ac:dyDescent="0.3"/>
  <cols>
    <col min="2" max="2" width="21.6640625" bestFit="1" customWidth="1"/>
    <col min="38" max="38" width="12" bestFit="1" customWidth="1"/>
    <col min="39" max="39" width="17.5546875" bestFit="1" customWidth="1"/>
  </cols>
  <sheetData>
    <row r="2" spans="2:36" x14ac:dyDescent="0.3">
      <c r="C2" s="5" t="s">
        <v>28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 t="s">
        <v>39</v>
      </c>
      <c r="O2" s="5" t="s">
        <v>40</v>
      </c>
      <c r="P2" s="5" t="s">
        <v>41</v>
      </c>
      <c r="Q2" s="5" t="s">
        <v>42</v>
      </c>
      <c r="R2" s="5" t="s">
        <v>43</v>
      </c>
      <c r="S2" s="5"/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2:36" s="7" customFormat="1" x14ac:dyDescent="0.3">
      <c r="B3" s="7" t="s">
        <v>11</v>
      </c>
      <c r="J3" s="8">
        <v>32.5</v>
      </c>
      <c r="K3" s="8">
        <v>29.2</v>
      </c>
      <c r="N3" s="8">
        <v>35.299999999999997</v>
      </c>
      <c r="O3" s="8">
        <v>40.6</v>
      </c>
      <c r="T3" s="8">
        <v>19.3</v>
      </c>
      <c r="U3" s="8">
        <v>28</v>
      </c>
      <c r="V3" s="8">
        <v>42.3</v>
      </c>
      <c r="W3" s="8">
        <v>76.5</v>
      </c>
      <c r="X3" s="8">
        <v>108.7</v>
      </c>
      <c r="Y3" s="8">
        <v>127.2</v>
      </c>
      <c r="Z3" s="8">
        <v>170</v>
      </c>
      <c r="AA3" s="8">
        <f>Z3*1.17</f>
        <v>198.89999999999998</v>
      </c>
      <c r="AB3" s="8">
        <f>AA3*1.09</f>
        <v>216.80099999999999</v>
      </c>
      <c r="AC3" s="8">
        <f>AB3*1.07</f>
        <v>231.97707</v>
      </c>
      <c r="AD3" s="8">
        <f>AC3*1.06</f>
        <v>245.89569420000001</v>
      </c>
      <c r="AE3" s="8">
        <f>AD3*1.05</f>
        <v>258.19047891000002</v>
      </c>
      <c r="AF3" s="8">
        <f t="shared" ref="AF3:AJ3" si="0">AE3*1.05</f>
        <v>271.10000285550007</v>
      </c>
      <c r="AG3" s="8">
        <f t="shared" si="0"/>
        <v>284.65500299827511</v>
      </c>
      <c r="AH3" s="8">
        <f t="shared" si="0"/>
        <v>298.88775314818889</v>
      </c>
      <c r="AI3" s="8">
        <f t="shared" si="0"/>
        <v>313.83214080559833</v>
      </c>
      <c r="AJ3" s="8">
        <f t="shared" si="0"/>
        <v>329.52374784587823</v>
      </c>
    </row>
    <row r="4" spans="2:36" x14ac:dyDescent="0.3">
      <c r="B4" t="s">
        <v>12</v>
      </c>
      <c r="J4" s="2">
        <v>5.0999999999999996</v>
      </c>
      <c r="K4" s="2">
        <v>2.2000000000000002</v>
      </c>
      <c r="N4" s="2">
        <v>2.2000000000000002</v>
      </c>
      <c r="O4" s="2">
        <v>2.2000000000000002</v>
      </c>
      <c r="T4" s="2"/>
      <c r="U4" s="2"/>
      <c r="V4" s="2"/>
      <c r="W4" s="2">
        <v>3</v>
      </c>
      <c r="X4" s="2">
        <v>9.1</v>
      </c>
      <c r="Y4" s="2">
        <v>7.5</v>
      </c>
      <c r="Z4" s="2">
        <f>Z3-Z5</f>
        <v>10.200000000000017</v>
      </c>
      <c r="AA4" s="2">
        <f>AA3-AA5</f>
        <v>11.933999999999997</v>
      </c>
      <c r="AB4" s="2">
        <f t="shared" ref="AB4:AJ4" si="1">AB3-AB5</f>
        <v>13.00806</v>
      </c>
      <c r="AC4" s="2">
        <f t="shared" si="1"/>
        <v>13.918624200000011</v>
      </c>
      <c r="AD4" s="2">
        <f t="shared" si="1"/>
        <v>14.753741652000002</v>
      </c>
      <c r="AE4" s="2">
        <f t="shared" si="1"/>
        <v>15.491428734600021</v>
      </c>
      <c r="AF4" s="2">
        <f t="shared" si="1"/>
        <v>16.266000171330006</v>
      </c>
      <c r="AG4" s="2">
        <f t="shared" si="1"/>
        <v>17.079300179896507</v>
      </c>
      <c r="AH4" s="2">
        <f t="shared" si="1"/>
        <v>17.933265188891369</v>
      </c>
      <c r="AI4" s="2">
        <f t="shared" si="1"/>
        <v>18.82992844833592</v>
      </c>
      <c r="AJ4" s="2">
        <f t="shared" si="1"/>
        <v>19.771424870752696</v>
      </c>
    </row>
    <row r="5" spans="2:36" s="7" customFormat="1" x14ac:dyDescent="0.3">
      <c r="B5" s="7" t="s">
        <v>13</v>
      </c>
      <c r="J5" s="8">
        <f>J3-J4</f>
        <v>27.4</v>
      </c>
      <c r="K5" s="8">
        <f>K3-K4</f>
        <v>27</v>
      </c>
      <c r="N5" s="8">
        <f>N3-N4</f>
        <v>33.099999999999994</v>
      </c>
      <c r="O5" s="8">
        <f>O3-O4</f>
        <v>38.4</v>
      </c>
      <c r="T5" s="8">
        <f t="shared" ref="T5:Y5" si="2">T3-T4</f>
        <v>19.3</v>
      </c>
      <c r="U5" s="8">
        <f t="shared" si="2"/>
        <v>28</v>
      </c>
      <c r="V5" s="8">
        <f t="shared" si="2"/>
        <v>42.3</v>
      </c>
      <c r="W5" s="8">
        <f t="shared" si="2"/>
        <v>73.5</v>
      </c>
      <c r="X5" s="8">
        <f t="shared" si="2"/>
        <v>99.600000000000009</v>
      </c>
      <c r="Y5" s="8">
        <f t="shared" si="2"/>
        <v>119.7</v>
      </c>
      <c r="Z5" s="8">
        <f>Z3*0.94</f>
        <v>159.79999999999998</v>
      </c>
      <c r="AA5" s="8">
        <f>AA3*0.94</f>
        <v>186.96599999999998</v>
      </c>
      <c r="AB5" s="8">
        <f t="shared" ref="AB5:AJ5" si="3">AB3*0.94</f>
        <v>203.79293999999999</v>
      </c>
      <c r="AC5" s="8">
        <f t="shared" si="3"/>
        <v>218.05844579999999</v>
      </c>
      <c r="AD5" s="8">
        <f t="shared" si="3"/>
        <v>231.14195254800001</v>
      </c>
      <c r="AE5" s="8">
        <f t="shared" si="3"/>
        <v>242.6990501754</v>
      </c>
      <c r="AF5" s="8">
        <f t="shared" si="3"/>
        <v>254.83400268417006</v>
      </c>
      <c r="AG5" s="8">
        <f t="shared" si="3"/>
        <v>267.5757028183786</v>
      </c>
      <c r="AH5" s="8">
        <f t="shared" si="3"/>
        <v>280.95448795929752</v>
      </c>
      <c r="AI5" s="8">
        <f t="shared" si="3"/>
        <v>295.00221235726241</v>
      </c>
      <c r="AJ5" s="8">
        <f t="shared" si="3"/>
        <v>309.75232297512554</v>
      </c>
    </row>
    <row r="6" spans="2:36" x14ac:dyDescent="0.3">
      <c r="B6" t="s">
        <v>14</v>
      </c>
      <c r="J6" s="2">
        <v>9.6999999999999993</v>
      </c>
      <c r="K6" s="2">
        <v>9.6</v>
      </c>
      <c r="N6" s="2">
        <v>10.9</v>
      </c>
      <c r="O6" s="2">
        <v>15.2</v>
      </c>
      <c r="T6" s="2">
        <v>10.9</v>
      </c>
      <c r="U6" s="2">
        <v>8.1</v>
      </c>
      <c r="V6" s="2">
        <v>14.1</v>
      </c>
      <c r="W6" s="2">
        <v>33.700000000000003</v>
      </c>
      <c r="X6" s="2">
        <v>35.299999999999997</v>
      </c>
      <c r="Y6" s="2">
        <v>41.9</v>
      </c>
      <c r="Z6" s="2">
        <f>Z3*0.32</f>
        <v>54.4</v>
      </c>
      <c r="AA6" s="2">
        <f>AA3*0.31</f>
        <v>61.658999999999992</v>
      </c>
      <c r="AB6" s="2">
        <f>AB3*0.31</f>
        <v>67.208309999999997</v>
      </c>
      <c r="AC6" s="2">
        <f t="shared" ref="AC6:AJ6" si="4">AC3*0.31</f>
        <v>71.912891700000003</v>
      </c>
      <c r="AD6" s="2">
        <f t="shared" si="4"/>
        <v>76.227665201999997</v>
      </c>
      <c r="AE6" s="2">
        <f t="shared" si="4"/>
        <v>80.039048462100013</v>
      </c>
      <c r="AF6" s="2">
        <f t="shared" si="4"/>
        <v>84.041000885205023</v>
      </c>
      <c r="AG6" s="2">
        <f t="shared" si="4"/>
        <v>88.243050929465284</v>
      </c>
      <c r="AH6" s="2">
        <f t="shared" si="4"/>
        <v>92.655203475938549</v>
      </c>
      <c r="AI6" s="2">
        <f t="shared" si="4"/>
        <v>97.287963649735488</v>
      </c>
      <c r="AJ6" s="2">
        <f t="shared" si="4"/>
        <v>102.15236183222225</v>
      </c>
    </row>
    <row r="7" spans="2:36" x14ac:dyDescent="0.3">
      <c r="B7" t="s">
        <v>15</v>
      </c>
      <c r="J7" s="2">
        <v>3.1</v>
      </c>
      <c r="K7" s="2">
        <v>3.2</v>
      </c>
      <c r="N7" s="2">
        <v>3.9</v>
      </c>
      <c r="O7" s="2">
        <v>5.2</v>
      </c>
      <c r="T7" s="2">
        <v>2.5</v>
      </c>
      <c r="U7" s="2">
        <v>2.5</v>
      </c>
      <c r="V7" s="2">
        <v>3.9</v>
      </c>
      <c r="W7" s="2">
        <v>6.8</v>
      </c>
      <c r="X7" s="2">
        <v>10.3</v>
      </c>
      <c r="Y7" s="2">
        <v>13.9</v>
      </c>
      <c r="Z7" s="2">
        <f>Y7*1.22</f>
        <v>16.957999999999998</v>
      </c>
      <c r="AA7" s="2">
        <f>Z7*1.18</f>
        <v>20.010439999999996</v>
      </c>
      <c r="AB7" s="2">
        <f>AA7*1.14</f>
        <v>22.811901599999992</v>
      </c>
      <c r="AC7" s="2">
        <f>AB7*1.1</f>
        <v>25.093091759999993</v>
      </c>
      <c r="AD7" s="2">
        <f>AC7*1.05</f>
        <v>26.347746347999994</v>
      </c>
      <c r="AE7" s="2">
        <f t="shared" ref="AE7" si="5">AD7*1.05</f>
        <v>27.665133665399996</v>
      </c>
      <c r="AF7" s="2">
        <f>AE7*1.04</f>
        <v>28.771739012015995</v>
      </c>
      <c r="AG7" s="2">
        <f>AF7*1.03</f>
        <v>29.634891182376474</v>
      </c>
      <c r="AH7" s="2">
        <f>AG7*1.02</f>
        <v>30.227589006024004</v>
      </c>
      <c r="AI7" s="2">
        <f t="shared" ref="AI7:AJ7" si="6">AH7*1.02</f>
        <v>30.832140786144485</v>
      </c>
      <c r="AJ7" s="2">
        <f t="shared" si="6"/>
        <v>31.448783601867376</v>
      </c>
    </row>
    <row r="8" spans="2:36" x14ac:dyDescent="0.3">
      <c r="B8" t="s">
        <v>16</v>
      </c>
      <c r="J8" s="2">
        <v>7</v>
      </c>
      <c r="K8" s="2">
        <v>6.3</v>
      </c>
      <c r="N8" s="2">
        <v>9</v>
      </c>
      <c r="O8" s="2">
        <v>7.7</v>
      </c>
      <c r="T8" s="2">
        <v>4.2</v>
      </c>
      <c r="U8" s="2">
        <v>6</v>
      </c>
      <c r="V8" s="2">
        <v>13</v>
      </c>
      <c r="W8" s="2">
        <v>19.5</v>
      </c>
      <c r="X8" s="2">
        <v>24.3</v>
      </c>
      <c r="Y8" s="2">
        <v>27.6</v>
      </c>
      <c r="Z8" s="2">
        <f>Y8*1.25</f>
        <v>34.5</v>
      </c>
      <c r="AA8" s="2">
        <f>Z8*1.15</f>
        <v>39.674999999999997</v>
      </c>
      <c r="AB8" s="2">
        <f>AA8*1.05</f>
        <v>41.658749999999998</v>
      </c>
      <c r="AC8" s="2">
        <f>AB8*1.04</f>
        <v>43.325099999999999</v>
      </c>
      <c r="AD8" s="2">
        <f>AC8*1.03</f>
        <v>44.624853000000002</v>
      </c>
      <c r="AE8" s="2">
        <f t="shared" ref="AE8:AJ8" si="7">AD8*1.02</f>
        <v>45.517350060000005</v>
      </c>
      <c r="AF8" s="2">
        <f t="shared" si="7"/>
        <v>46.427697061200007</v>
      </c>
      <c r="AG8" s="2">
        <f t="shared" si="7"/>
        <v>47.35625100242401</v>
      </c>
      <c r="AH8" s="2">
        <f t="shared" si="7"/>
        <v>48.303376022472492</v>
      </c>
      <c r="AI8" s="2">
        <f t="shared" si="7"/>
        <v>49.269443542921941</v>
      </c>
      <c r="AJ8" s="2">
        <f t="shared" si="7"/>
        <v>50.254832413780377</v>
      </c>
    </row>
    <row r="9" spans="2:36" x14ac:dyDescent="0.3">
      <c r="B9" t="s">
        <v>18</v>
      </c>
      <c r="J9" s="2">
        <f>SUM(J6:J8)</f>
        <v>19.799999999999997</v>
      </c>
      <c r="K9" s="2">
        <f>SUM(K6:K8)</f>
        <v>19.100000000000001</v>
      </c>
      <c r="N9" s="2">
        <f>SUM(N6:N8)</f>
        <v>23.8</v>
      </c>
      <c r="O9" s="2">
        <f>SUM(O6:O8)</f>
        <v>28.099999999999998</v>
      </c>
      <c r="T9" s="2">
        <f t="shared" ref="T9:Y9" si="8">SUM(T6:T8)</f>
        <v>17.600000000000001</v>
      </c>
      <c r="U9" s="2">
        <f t="shared" si="8"/>
        <v>16.600000000000001</v>
      </c>
      <c r="V9" s="2">
        <f t="shared" si="8"/>
        <v>31</v>
      </c>
      <c r="W9" s="2">
        <f t="shared" si="8"/>
        <v>60</v>
      </c>
      <c r="X9" s="2">
        <f t="shared" si="8"/>
        <v>69.899999999999991</v>
      </c>
      <c r="Y9" s="2">
        <f t="shared" si="8"/>
        <v>83.4</v>
      </c>
      <c r="Z9" s="2">
        <f t="shared" ref="Z9:AJ9" si="9">SUM(Z6:Z8)</f>
        <v>105.858</v>
      </c>
      <c r="AA9" s="2">
        <f t="shared" si="9"/>
        <v>121.34443999999998</v>
      </c>
      <c r="AB9" s="2">
        <f t="shared" si="9"/>
        <v>131.67896159999998</v>
      </c>
      <c r="AC9" s="2">
        <f t="shared" si="9"/>
        <v>140.33108346</v>
      </c>
      <c r="AD9" s="2">
        <f t="shared" si="9"/>
        <v>147.20026454999999</v>
      </c>
      <c r="AE9" s="2">
        <f t="shared" si="9"/>
        <v>153.2215321875</v>
      </c>
      <c r="AF9" s="2">
        <f t="shared" si="9"/>
        <v>159.24043695842101</v>
      </c>
      <c r="AG9" s="2">
        <f t="shared" si="9"/>
        <v>165.23419311426576</v>
      </c>
      <c r="AH9" s="2">
        <f t="shared" si="9"/>
        <v>171.18616850443505</v>
      </c>
      <c r="AI9" s="2">
        <f t="shared" si="9"/>
        <v>177.38954797880191</v>
      </c>
      <c r="AJ9" s="2">
        <f t="shared" si="9"/>
        <v>183.85597784787001</v>
      </c>
    </row>
    <row r="10" spans="2:36" s="7" customFormat="1" x14ac:dyDescent="0.3">
      <c r="B10" s="7" t="s">
        <v>17</v>
      </c>
      <c r="J10" s="8">
        <f>J5-J9</f>
        <v>7.6000000000000014</v>
      </c>
      <c r="K10" s="8">
        <f>K5-K9</f>
        <v>7.8999999999999986</v>
      </c>
      <c r="N10" s="8">
        <f>N5-N9</f>
        <v>9.2999999999999936</v>
      </c>
      <c r="O10" s="8">
        <f>O5-O9</f>
        <v>10.3</v>
      </c>
      <c r="T10" s="8">
        <f t="shared" ref="T10:Y10" si="10">T5-T9</f>
        <v>1.6999999999999993</v>
      </c>
      <c r="U10" s="8">
        <f t="shared" si="10"/>
        <v>11.399999999999999</v>
      </c>
      <c r="V10" s="8">
        <f t="shared" si="10"/>
        <v>11.299999999999997</v>
      </c>
      <c r="W10" s="8">
        <f t="shared" si="10"/>
        <v>13.5</v>
      </c>
      <c r="X10" s="8">
        <f t="shared" si="10"/>
        <v>29.700000000000017</v>
      </c>
      <c r="Y10" s="8">
        <f t="shared" si="10"/>
        <v>36.299999999999997</v>
      </c>
      <c r="Z10" s="8">
        <f t="shared" ref="Z10:AJ10" si="11">Z5-Z9</f>
        <v>53.941999999999979</v>
      </c>
      <c r="AA10" s="8">
        <f t="shared" si="11"/>
        <v>65.621560000000002</v>
      </c>
      <c r="AB10" s="8">
        <f t="shared" si="11"/>
        <v>72.113978400000008</v>
      </c>
      <c r="AC10" s="8">
        <f t="shared" si="11"/>
        <v>77.727362339999985</v>
      </c>
      <c r="AD10" s="8">
        <f t="shared" si="11"/>
        <v>83.94168799800002</v>
      </c>
      <c r="AE10" s="8">
        <f t="shared" si="11"/>
        <v>89.477517987900001</v>
      </c>
      <c r="AF10" s="8">
        <f t="shared" si="11"/>
        <v>95.593565725749045</v>
      </c>
      <c r="AG10" s="8">
        <f t="shared" si="11"/>
        <v>102.34150970411284</v>
      </c>
      <c r="AH10" s="8">
        <f t="shared" si="11"/>
        <v>109.76831945486248</v>
      </c>
      <c r="AI10" s="8">
        <f t="shared" si="11"/>
        <v>117.61266437846049</v>
      </c>
      <c r="AJ10" s="8">
        <f t="shared" si="11"/>
        <v>125.89634512725553</v>
      </c>
    </row>
    <row r="11" spans="2:36" x14ac:dyDescent="0.3">
      <c r="B11" t="s">
        <v>19</v>
      </c>
      <c r="J11" s="2">
        <v>-0.5</v>
      </c>
      <c r="K11" s="2">
        <v>0</v>
      </c>
      <c r="N11" s="2">
        <v>-0.6</v>
      </c>
      <c r="O11" s="2">
        <v>0</v>
      </c>
      <c r="T11" s="2">
        <v>0.3</v>
      </c>
      <c r="U11" s="2">
        <v>0.3</v>
      </c>
      <c r="V11" s="2">
        <v>-0.1</v>
      </c>
      <c r="W11" s="2">
        <v>0.8</v>
      </c>
      <c r="X11" s="2">
        <v>0.9</v>
      </c>
      <c r="Y11" s="2">
        <v>0.5</v>
      </c>
      <c r="Z11" s="2">
        <f>Y11*1.05</f>
        <v>0.52500000000000002</v>
      </c>
      <c r="AA11" s="2">
        <f t="shared" ref="AA11:AJ11" si="12">Z11*1.05</f>
        <v>0.55125000000000002</v>
      </c>
      <c r="AB11" s="2">
        <f t="shared" si="12"/>
        <v>0.57881250000000006</v>
      </c>
      <c r="AC11" s="2">
        <f t="shared" si="12"/>
        <v>0.60775312500000012</v>
      </c>
      <c r="AD11" s="2">
        <f t="shared" si="12"/>
        <v>0.63814078125000018</v>
      </c>
      <c r="AE11" s="2">
        <f t="shared" si="12"/>
        <v>0.67004782031250021</v>
      </c>
      <c r="AF11" s="2">
        <f t="shared" si="12"/>
        <v>0.70355021132812523</v>
      </c>
      <c r="AG11" s="2">
        <f t="shared" si="12"/>
        <v>0.73872772189453151</v>
      </c>
      <c r="AH11" s="2">
        <f t="shared" si="12"/>
        <v>0.77566410798925811</v>
      </c>
      <c r="AI11" s="2">
        <f t="shared" si="12"/>
        <v>0.81444731338872101</v>
      </c>
      <c r="AJ11" s="2">
        <f t="shared" si="12"/>
        <v>0.85516967905815711</v>
      </c>
    </row>
    <row r="12" spans="2:36" x14ac:dyDescent="0.3">
      <c r="B12" t="s">
        <v>20</v>
      </c>
      <c r="J12" s="2">
        <v>0</v>
      </c>
      <c r="K12" s="2">
        <v>-0.1</v>
      </c>
      <c r="N12" s="2">
        <v>0</v>
      </c>
      <c r="O12" s="2">
        <v>0.3</v>
      </c>
      <c r="T12" s="2">
        <v>0.1</v>
      </c>
      <c r="U12" s="2">
        <v>-1.4</v>
      </c>
      <c r="V12" s="2">
        <v>0</v>
      </c>
      <c r="W12" s="2">
        <v>10.9</v>
      </c>
      <c r="X12" s="2">
        <v>6.9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</row>
    <row r="13" spans="2:36" x14ac:dyDescent="0.3">
      <c r="B13" t="s">
        <v>21</v>
      </c>
      <c r="J13" s="2">
        <v>-0.6</v>
      </c>
      <c r="K13" s="2">
        <v>-0.9</v>
      </c>
      <c r="N13" s="2">
        <v>-0.1</v>
      </c>
      <c r="O13" s="2">
        <v>-3.9</v>
      </c>
      <c r="T13" s="2">
        <v>-0.1</v>
      </c>
      <c r="U13" s="2">
        <v>-0.3</v>
      </c>
      <c r="V13" s="2">
        <v>-2.6</v>
      </c>
      <c r="W13" s="2">
        <v>-2.2999999999999998</v>
      </c>
      <c r="X13" s="2">
        <v>-0.6</v>
      </c>
      <c r="Y13" s="2">
        <v>-1.6</v>
      </c>
      <c r="Z13" s="2">
        <f>Y13*1.03</f>
        <v>-1.6480000000000001</v>
      </c>
      <c r="AA13" s="2">
        <f t="shared" ref="AA13:AJ13" si="13">Z13*1.03</f>
        <v>-1.6974400000000003</v>
      </c>
      <c r="AB13" s="2">
        <f t="shared" si="13"/>
        <v>-1.7483632000000002</v>
      </c>
      <c r="AC13" s="2">
        <f t="shared" si="13"/>
        <v>-1.8008140960000003</v>
      </c>
      <c r="AD13" s="2">
        <f t="shared" si="13"/>
        <v>-1.8548385188800003</v>
      </c>
      <c r="AE13" s="2">
        <f t="shared" si="13"/>
        <v>-1.9104836744464004</v>
      </c>
      <c r="AF13" s="2">
        <f t="shared" si="13"/>
        <v>-1.9677981846797925</v>
      </c>
      <c r="AG13" s="2">
        <f t="shared" si="13"/>
        <v>-2.0268321302201864</v>
      </c>
      <c r="AH13" s="2">
        <f t="shared" si="13"/>
        <v>-2.0876370941267921</v>
      </c>
      <c r="AI13" s="2">
        <f t="shared" si="13"/>
        <v>-2.150266206950596</v>
      </c>
      <c r="AJ13" s="2">
        <f t="shared" si="13"/>
        <v>-2.2147741931591138</v>
      </c>
    </row>
    <row r="14" spans="2:36" x14ac:dyDescent="0.3">
      <c r="B14" t="s">
        <v>22</v>
      </c>
      <c r="J14" s="2">
        <v>2.6</v>
      </c>
      <c r="K14" s="2">
        <v>0.5</v>
      </c>
      <c r="N14" s="2">
        <v>0.9</v>
      </c>
      <c r="O14" s="2">
        <v>3</v>
      </c>
      <c r="T14" s="2">
        <v>2.5</v>
      </c>
      <c r="U14" s="2">
        <v>2.1</v>
      </c>
      <c r="V14" s="2">
        <v>1.8</v>
      </c>
      <c r="W14" s="2">
        <v>1.3</v>
      </c>
      <c r="X14" s="2">
        <v>2.2999999999999998</v>
      </c>
      <c r="Y14" s="2">
        <v>3.1</v>
      </c>
      <c r="Z14" s="2">
        <f>Y14*1.03</f>
        <v>3.1930000000000001</v>
      </c>
      <c r="AA14" s="2">
        <f t="shared" ref="AA14:AJ14" si="14">Z14*1.03</f>
        <v>3.2887900000000001</v>
      </c>
      <c r="AB14" s="2">
        <f t="shared" si="14"/>
        <v>3.3874537</v>
      </c>
      <c r="AC14" s="2">
        <f t="shared" si="14"/>
        <v>3.489077311</v>
      </c>
      <c r="AD14" s="2">
        <f t="shared" si="14"/>
        <v>3.5937496303300001</v>
      </c>
      <c r="AE14" s="2">
        <f t="shared" si="14"/>
        <v>3.7015621192399002</v>
      </c>
      <c r="AF14" s="2">
        <f t="shared" si="14"/>
        <v>3.8126089828170975</v>
      </c>
      <c r="AG14" s="2">
        <f t="shared" si="14"/>
        <v>3.9269872523016107</v>
      </c>
      <c r="AH14" s="2">
        <f t="shared" si="14"/>
        <v>4.0447968698706589</v>
      </c>
      <c r="AI14" s="2">
        <f t="shared" si="14"/>
        <v>4.1661407759667783</v>
      </c>
      <c r="AJ14" s="2">
        <f t="shared" si="14"/>
        <v>4.2911249992457821</v>
      </c>
    </row>
    <row r="15" spans="2:36" x14ac:dyDescent="0.3">
      <c r="B15" t="s">
        <v>23</v>
      </c>
      <c r="J15" s="2">
        <f>SUM(J11:J14)</f>
        <v>1.5</v>
      </c>
      <c r="K15" s="2">
        <f>SUM(K11:K14)</f>
        <v>-0.5</v>
      </c>
      <c r="N15" s="2">
        <f>SUM(N11:N14)</f>
        <v>0.20000000000000007</v>
      </c>
      <c r="O15" s="2">
        <f>SUM(O11:O14)</f>
        <v>-0.60000000000000009</v>
      </c>
      <c r="T15" s="2">
        <f t="shared" ref="T15:Y15" si="15">SUM(T11:T14)</f>
        <v>2.8</v>
      </c>
      <c r="U15" s="2">
        <f t="shared" si="15"/>
        <v>0.70000000000000018</v>
      </c>
      <c r="V15" s="2">
        <f t="shared" si="15"/>
        <v>-0.90000000000000013</v>
      </c>
      <c r="W15" s="2">
        <f t="shared" si="15"/>
        <v>10.700000000000003</v>
      </c>
      <c r="X15" s="2">
        <f t="shared" si="15"/>
        <v>9.5</v>
      </c>
      <c r="Y15" s="2">
        <f t="shared" si="15"/>
        <v>2</v>
      </c>
      <c r="Z15" s="2">
        <f t="shared" ref="Z15:AJ15" si="16">SUM(Z11:Z14)</f>
        <v>2.0699999999999998</v>
      </c>
      <c r="AA15" s="2">
        <f t="shared" si="16"/>
        <v>2.1425999999999998</v>
      </c>
      <c r="AB15" s="2">
        <f t="shared" si="16"/>
        <v>2.2179029999999997</v>
      </c>
      <c r="AC15" s="2">
        <f t="shared" si="16"/>
        <v>2.2960163399999995</v>
      </c>
      <c r="AD15" s="2">
        <f t="shared" si="16"/>
        <v>2.3770518926999999</v>
      </c>
      <c r="AE15" s="2">
        <f t="shared" si="16"/>
        <v>2.461126265106</v>
      </c>
      <c r="AF15" s="2">
        <f t="shared" si="16"/>
        <v>2.5483610094654301</v>
      </c>
      <c r="AG15" s="2">
        <f t="shared" si="16"/>
        <v>2.638882843975956</v>
      </c>
      <c r="AH15" s="2">
        <f t="shared" si="16"/>
        <v>2.7328238837331247</v>
      </c>
      <c r="AI15" s="2">
        <f t="shared" si="16"/>
        <v>2.8303218824049035</v>
      </c>
      <c r="AJ15" s="2">
        <f t="shared" si="16"/>
        <v>2.9315204851448255</v>
      </c>
    </row>
    <row r="16" spans="2:36" s="7" customFormat="1" x14ac:dyDescent="0.3">
      <c r="B16" s="7" t="s">
        <v>24</v>
      </c>
      <c r="J16" s="8">
        <f>J10-J15</f>
        <v>6.1000000000000014</v>
      </c>
      <c r="K16" s="8">
        <f>K10-K15</f>
        <v>8.3999999999999986</v>
      </c>
      <c r="N16" s="8">
        <f>N10-N15</f>
        <v>9.0999999999999943</v>
      </c>
      <c r="O16" s="8">
        <f>O10-O15</f>
        <v>10.9</v>
      </c>
      <c r="T16" s="8">
        <f t="shared" ref="T16:Y16" si="17">T10-T15</f>
        <v>-1.1000000000000005</v>
      </c>
      <c r="U16" s="8">
        <f t="shared" si="17"/>
        <v>10.7</v>
      </c>
      <c r="V16" s="8">
        <f t="shared" si="17"/>
        <v>12.199999999999998</v>
      </c>
      <c r="W16" s="8">
        <f t="shared" si="17"/>
        <v>2.7999999999999972</v>
      </c>
      <c r="X16" s="8">
        <f t="shared" si="17"/>
        <v>20.200000000000017</v>
      </c>
      <c r="Y16" s="8">
        <f t="shared" si="17"/>
        <v>34.299999999999997</v>
      </c>
      <c r="Z16" s="8">
        <f t="shared" ref="Z16:AJ16" si="18">Z10-Z15</f>
        <v>51.871999999999979</v>
      </c>
      <c r="AA16" s="8">
        <f t="shared" si="18"/>
        <v>63.478960000000001</v>
      </c>
      <c r="AB16" s="8">
        <f t="shared" si="18"/>
        <v>69.896075400000001</v>
      </c>
      <c r="AC16" s="8">
        <f t="shared" si="18"/>
        <v>75.431345999999991</v>
      </c>
      <c r="AD16" s="8">
        <f t="shared" si="18"/>
        <v>81.564636105300025</v>
      </c>
      <c r="AE16" s="8">
        <f t="shared" si="18"/>
        <v>87.016391722793998</v>
      </c>
      <c r="AF16" s="8">
        <f t="shared" si="18"/>
        <v>93.045204716283621</v>
      </c>
      <c r="AG16" s="8">
        <f t="shared" si="18"/>
        <v>99.702626860136888</v>
      </c>
      <c r="AH16" s="8">
        <f t="shared" si="18"/>
        <v>107.03549557112936</v>
      </c>
      <c r="AI16" s="8">
        <f t="shared" si="18"/>
        <v>114.78234249605559</v>
      </c>
      <c r="AJ16" s="8">
        <f t="shared" si="18"/>
        <v>122.9648246421107</v>
      </c>
    </row>
    <row r="17" spans="2:142" x14ac:dyDescent="0.3">
      <c r="B17" t="s">
        <v>25</v>
      </c>
      <c r="J17" s="2">
        <v>-0.2</v>
      </c>
      <c r="K17" s="2">
        <v>1.1000000000000001</v>
      </c>
      <c r="N17" s="2">
        <v>1.1000000000000001</v>
      </c>
      <c r="O17" s="2">
        <v>-0.3</v>
      </c>
      <c r="T17" s="2">
        <v>0.9</v>
      </c>
      <c r="U17" s="2">
        <v>-4.3</v>
      </c>
      <c r="V17" s="2">
        <v>-0.3</v>
      </c>
      <c r="W17" s="2">
        <v>0.5</v>
      </c>
      <c r="X17" s="2">
        <v>1.9</v>
      </c>
      <c r="Y17" s="2">
        <v>3.5</v>
      </c>
      <c r="Z17" s="2">
        <f>Z16*0.15</f>
        <v>7.7807999999999966</v>
      </c>
      <c r="AA17" s="2">
        <f t="shared" ref="AA17:AJ17" si="19">AA16*0.15</f>
        <v>9.5218439999999998</v>
      </c>
      <c r="AB17" s="2">
        <f t="shared" si="19"/>
        <v>10.48441131</v>
      </c>
      <c r="AC17" s="2">
        <f t="shared" si="19"/>
        <v>11.314701899999998</v>
      </c>
      <c r="AD17" s="2">
        <f t="shared" si="19"/>
        <v>12.234695415795004</v>
      </c>
      <c r="AE17" s="2">
        <f t="shared" si="19"/>
        <v>13.0524587584191</v>
      </c>
      <c r="AF17" s="2">
        <f t="shared" si="19"/>
        <v>13.956780707442542</v>
      </c>
      <c r="AG17" s="2">
        <f t="shared" si="19"/>
        <v>14.955394029020532</v>
      </c>
      <c r="AH17" s="2">
        <f t="shared" si="19"/>
        <v>16.055324335669404</v>
      </c>
      <c r="AI17" s="2">
        <f t="shared" si="19"/>
        <v>17.217351374408338</v>
      </c>
      <c r="AJ17" s="2">
        <f t="shared" si="19"/>
        <v>18.444723696316604</v>
      </c>
    </row>
    <row r="18" spans="2:142" s="7" customFormat="1" x14ac:dyDescent="0.3">
      <c r="B18" s="7" t="s">
        <v>26</v>
      </c>
      <c r="J18" s="8">
        <f>J16-J17</f>
        <v>6.3000000000000016</v>
      </c>
      <c r="K18" s="8">
        <f>K16-K17</f>
        <v>7.2999999999999989</v>
      </c>
      <c r="N18" s="8">
        <f>N16-N17</f>
        <v>7.9999999999999947</v>
      </c>
      <c r="O18" s="8">
        <f>O16-O17</f>
        <v>11.200000000000001</v>
      </c>
      <c r="T18" s="8">
        <f t="shared" ref="T18:Y18" si="20">T16-T17</f>
        <v>-2.0000000000000004</v>
      </c>
      <c r="U18" s="8">
        <f t="shared" si="20"/>
        <v>15</v>
      </c>
      <c r="V18" s="8">
        <f t="shared" si="20"/>
        <v>12.499999999999998</v>
      </c>
      <c r="W18" s="8">
        <f t="shared" si="20"/>
        <v>2.2999999999999972</v>
      </c>
      <c r="X18" s="8">
        <f t="shared" si="20"/>
        <v>18.300000000000018</v>
      </c>
      <c r="Y18" s="8">
        <f t="shared" si="20"/>
        <v>30.799999999999997</v>
      </c>
      <c r="Z18" s="8">
        <f t="shared" ref="Z18" si="21">Z16-Z17</f>
        <v>44.091199999999979</v>
      </c>
      <c r="AA18" s="8">
        <f t="shared" ref="AA18" si="22">AA16-AA17</f>
        <v>53.957115999999999</v>
      </c>
      <c r="AB18" s="8">
        <f t="shared" ref="AB18" si="23">AB16-AB17</f>
        <v>59.411664090000002</v>
      </c>
      <c r="AC18" s="8">
        <f t="shared" ref="AC18" si="24">AC16-AC17</f>
        <v>64.116644099999988</v>
      </c>
      <c r="AD18" s="8">
        <f t="shared" ref="AD18" si="25">AD16-AD17</f>
        <v>69.329940689505023</v>
      </c>
      <c r="AE18" s="8">
        <f t="shared" ref="AE18" si="26">AE16-AE17</f>
        <v>73.963932964374891</v>
      </c>
      <c r="AF18" s="8">
        <f t="shared" ref="AF18" si="27">AF16-AF17</f>
        <v>79.088424008841073</v>
      </c>
      <c r="AG18" s="8">
        <f t="shared" ref="AG18" si="28">AG16-AG17</f>
        <v>84.747232831116349</v>
      </c>
      <c r="AH18" s="8">
        <f t="shared" ref="AH18" si="29">AH16-AH17</f>
        <v>90.980171235459949</v>
      </c>
      <c r="AI18" s="8">
        <f t="shared" ref="AI18" si="30">AI16-AI17</f>
        <v>97.564991121647253</v>
      </c>
      <c r="AJ18" s="8">
        <f t="shared" ref="AJ18" si="31">AJ16-AJ17</f>
        <v>104.5201009457941</v>
      </c>
      <c r="AK18" s="7">
        <f>AJ18*(1+$AM$24)</f>
        <v>103.47489993633616</v>
      </c>
      <c r="AL18" s="7">
        <f t="shared" ref="AL18:CW18" si="32">AK18*(1+$AM$24)</f>
        <v>102.4401509369728</v>
      </c>
      <c r="AM18" s="7">
        <f t="shared" si="32"/>
        <v>101.41574942760307</v>
      </c>
      <c r="AN18" s="7">
        <f t="shared" si="32"/>
        <v>100.40159193332704</v>
      </c>
      <c r="AO18" s="7">
        <f t="shared" si="32"/>
        <v>99.397576013993771</v>
      </c>
      <c r="AP18" s="7">
        <f t="shared" si="32"/>
        <v>98.403600253853838</v>
      </c>
      <c r="AQ18" s="7">
        <f t="shared" si="32"/>
        <v>97.419564251315293</v>
      </c>
      <c r="AR18" s="7">
        <f t="shared" si="32"/>
        <v>96.445368608802141</v>
      </c>
      <c r="AS18" s="7">
        <f t="shared" si="32"/>
        <v>95.480914922714121</v>
      </c>
      <c r="AT18" s="7">
        <f t="shared" si="32"/>
        <v>94.526105773486975</v>
      </c>
      <c r="AU18" s="7">
        <f t="shared" si="32"/>
        <v>93.580844715752107</v>
      </c>
      <c r="AV18" s="7">
        <f t="shared" si="32"/>
        <v>92.645036268594581</v>
      </c>
      <c r="AW18" s="7">
        <f t="shared" si="32"/>
        <v>91.71858590590864</v>
      </c>
      <c r="AX18" s="7">
        <f t="shared" si="32"/>
        <v>90.801400046849551</v>
      </c>
      <c r="AY18" s="7">
        <f t="shared" si="32"/>
        <v>89.893386046381053</v>
      </c>
      <c r="AZ18" s="7">
        <f t="shared" si="32"/>
        <v>88.99445218591724</v>
      </c>
      <c r="BA18" s="7">
        <f t="shared" si="32"/>
        <v>88.104507664058062</v>
      </c>
      <c r="BB18" s="7">
        <f t="shared" si="32"/>
        <v>87.223462587417487</v>
      </c>
      <c r="BC18" s="7">
        <f t="shared" si="32"/>
        <v>86.351227961543316</v>
      </c>
      <c r="BD18" s="7">
        <f t="shared" si="32"/>
        <v>85.487715681927881</v>
      </c>
      <c r="BE18" s="7">
        <f t="shared" si="32"/>
        <v>84.632838525108596</v>
      </c>
      <c r="BF18" s="7">
        <f t="shared" si="32"/>
        <v>83.786510139857512</v>
      </c>
      <c r="BG18" s="7">
        <f t="shared" si="32"/>
        <v>82.948645038458935</v>
      </c>
      <c r="BH18" s="7">
        <f t="shared" si="32"/>
        <v>82.119158588074342</v>
      </c>
      <c r="BI18" s="7">
        <f t="shared" si="32"/>
        <v>81.297967002193602</v>
      </c>
      <c r="BJ18" s="7">
        <f t="shared" si="32"/>
        <v>80.48498733217167</v>
      </c>
      <c r="BK18" s="7">
        <f t="shared" si="32"/>
        <v>79.680137458849956</v>
      </c>
      <c r="BL18" s="7">
        <f t="shared" si="32"/>
        <v>78.883336084261458</v>
      </c>
      <c r="BM18" s="7">
        <f t="shared" si="32"/>
        <v>78.094502723418842</v>
      </c>
      <c r="BN18" s="7">
        <f t="shared" si="32"/>
        <v>77.31355769618466</v>
      </c>
      <c r="BO18" s="7">
        <f t="shared" si="32"/>
        <v>76.540422119222811</v>
      </c>
      <c r="BP18" s="7">
        <f t="shared" si="32"/>
        <v>75.775017898030583</v>
      </c>
      <c r="BQ18" s="7">
        <f t="shared" si="32"/>
        <v>75.017267719050281</v>
      </c>
      <c r="BR18" s="7">
        <f t="shared" si="32"/>
        <v>74.267095041859776</v>
      </c>
      <c r="BS18" s="7">
        <f t="shared" si="32"/>
        <v>73.524424091441176</v>
      </c>
      <c r="BT18" s="7">
        <f t="shared" si="32"/>
        <v>72.789179850526764</v>
      </c>
      <c r="BU18" s="7">
        <f t="shared" si="32"/>
        <v>72.061288052021496</v>
      </c>
      <c r="BV18" s="7">
        <f t="shared" si="32"/>
        <v>71.340675171501275</v>
      </c>
      <c r="BW18" s="7">
        <f t="shared" si="32"/>
        <v>70.627268419786262</v>
      </c>
      <c r="BX18" s="7">
        <f t="shared" si="32"/>
        <v>69.920995735588392</v>
      </c>
      <c r="BY18" s="7">
        <f t="shared" si="32"/>
        <v>69.221785778232501</v>
      </c>
      <c r="BZ18" s="7">
        <f t="shared" si="32"/>
        <v>68.529567920450177</v>
      </c>
      <c r="CA18" s="7">
        <f t="shared" si="32"/>
        <v>67.844272241245676</v>
      </c>
      <c r="CB18" s="7">
        <f t="shared" si="32"/>
        <v>67.16582951883322</v>
      </c>
      <c r="CC18" s="7">
        <f t="shared" si="32"/>
        <v>66.494171223644884</v>
      </c>
      <c r="CD18" s="7">
        <f t="shared" si="32"/>
        <v>65.829229511408428</v>
      </c>
      <c r="CE18" s="7">
        <f t="shared" si="32"/>
        <v>65.170937216294348</v>
      </c>
      <c r="CF18" s="7">
        <f t="shared" si="32"/>
        <v>64.519227844131407</v>
      </c>
      <c r="CG18" s="7">
        <f t="shared" si="32"/>
        <v>63.874035565690093</v>
      </c>
      <c r="CH18" s="7">
        <f t="shared" si="32"/>
        <v>63.235295210033193</v>
      </c>
      <c r="CI18" s="7">
        <f t="shared" si="32"/>
        <v>62.60294225793286</v>
      </c>
      <c r="CJ18" s="7">
        <f t="shared" si="32"/>
        <v>61.976912835353531</v>
      </c>
      <c r="CK18" s="7">
        <f t="shared" si="32"/>
        <v>61.357143706999992</v>
      </c>
      <c r="CL18" s="7">
        <f t="shared" si="32"/>
        <v>60.743572269929992</v>
      </c>
      <c r="CM18" s="7">
        <f t="shared" si="32"/>
        <v>60.136136547230691</v>
      </c>
      <c r="CN18" s="7">
        <f t="shared" si="32"/>
        <v>59.534775181758384</v>
      </c>
      <c r="CO18" s="7">
        <f t="shared" si="32"/>
        <v>58.9394274299408</v>
      </c>
      <c r="CP18" s="7">
        <f t="shared" si="32"/>
        <v>58.350033155641391</v>
      </c>
      <c r="CQ18" s="7">
        <f t="shared" si="32"/>
        <v>57.766532824084976</v>
      </c>
      <c r="CR18" s="7">
        <f t="shared" si="32"/>
        <v>57.188867495844129</v>
      </c>
      <c r="CS18" s="7">
        <f t="shared" si="32"/>
        <v>56.616978820885684</v>
      </c>
      <c r="CT18" s="7">
        <f t="shared" si="32"/>
        <v>56.050809032676824</v>
      </c>
      <c r="CU18" s="7">
        <f t="shared" si="32"/>
        <v>55.490300942350054</v>
      </c>
      <c r="CV18" s="7">
        <f t="shared" si="32"/>
        <v>54.935397932926556</v>
      </c>
      <c r="CW18" s="7">
        <f t="shared" si="32"/>
        <v>54.386043953597287</v>
      </c>
      <c r="CX18" s="7">
        <f t="shared" ref="CX18:EL18" si="33">CW18*(1+$AM$24)</f>
        <v>53.842183514061311</v>
      </c>
      <c r="CY18" s="7">
        <f t="shared" si="33"/>
        <v>53.303761678920701</v>
      </c>
      <c r="CZ18" s="7">
        <f t="shared" si="33"/>
        <v>52.770724062131492</v>
      </c>
      <c r="DA18" s="7">
        <f t="shared" si="33"/>
        <v>52.243016821510174</v>
      </c>
      <c r="DB18" s="7">
        <f t="shared" si="33"/>
        <v>51.720586653295072</v>
      </c>
      <c r="DC18" s="7">
        <f t="shared" si="33"/>
        <v>51.203380786762118</v>
      </c>
      <c r="DD18" s="7">
        <f t="shared" si="33"/>
        <v>50.691346978894494</v>
      </c>
      <c r="DE18" s="7">
        <f t="shared" si="33"/>
        <v>50.184433509105546</v>
      </c>
      <c r="DF18" s="7">
        <f t="shared" si="33"/>
        <v>49.682589174014488</v>
      </c>
      <c r="DG18" s="7">
        <f t="shared" si="33"/>
        <v>49.185763282274344</v>
      </c>
      <c r="DH18" s="7">
        <f t="shared" si="33"/>
        <v>48.693905649451601</v>
      </c>
      <c r="DI18" s="7">
        <f t="shared" si="33"/>
        <v>48.206966592957087</v>
      </c>
      <c r="DJ18" s="7">
        <f t="shared" si="33"/>
        <v>47.724896927027515</v>
      </c>
      <c r="DK18" s="7">
        <f t="shared" si="33"/>
        <v>47.247647957757238</v>
      </c>
      <c r="DL18" s="7">
        <f t="shared" si="33"/>
        <v>46.775171478179665</v>
      </c>
      <c r="DM18" s="7">
        <f t="shared" si="33"/>
        <v>46.307419763397867</v>
      </c>
      <c r="DN18" s="7">
        <f t="shared" si="33"/>
        <v>45.844345565763888</v>
      </c>
      <c r="DO18" s="7">
        <f t="shared" si="33"/>
        <v>45.385902110106251</v>
      </c>
      <c r="DP18" s="7">
        <f t="shared" si="33"/>
        <v>44.932043089005191</v>
      </c>
      <c r="DQ18" s="7">
        <f t="shared" si="33"/>
        <v>44.482722658115136</v>
      </c>
      <c r="DR18" s="7">
        <f t="shared" si="33"/>
        <v>44.037895431533983</v>
      </c>
      <c r="DS18" s="7">
        <f t="shared" si="33"/>
        <v>43.59751647721864</v>
      </c>
      <c r="DT18" s="7">
        <f t="shared" si="33"/>
        <v>43.161541312446452</v>
      </c>
      <c r="DU18" s="7">
        <f t="shared" si="33"/>
        <v>42.729925899321991</v>
      </c>
      <c r="DV18" s="7">
        <f t="shared" si="33"/>
        <v>42.302626640328768</v>
      </c>
      <c r="DW18" s="7">
        <f t="shared" si="33"/>
        <v>41.879600373925477</v>
      </c>
      <c r="DX18" s="7">
        <f t="shared" si="33"/>
        <v>41.460804370186224</v>
      </c>
      <c r="DY18" s="7">
        <f t="shared" si="33"/>
        <v>41.046196326484363</v>
      </c>
      <c r="DZ18" s="7">
        <f t="shared" si="33"/>
        <v>40.63573436321952</v>
      </c>
      <c r="EA18" s="7">
        <f t="shared" si="33"/>
        <v>40.229377019587325</v>
      </c>
      <c r="EB18" s="7">
        <f t="shared" si="33"/>
        <v>39.82708324939145</v>
      </c>
      <c r="EC18" s="7">
        <f t="shared" si="33"/>
        <v>39.428812416897536</v>
      </c>
      <c r="ED18" s="7">
        <f t="shared" si="33"/>
        <v>39.034524292728563</v>
      </c>
      <c r="EE18" s="7">
        <f t="shared" si="33"/>
        <v>38.644179049801274</v>
      </c>
      <c r="EF18" s="7">
        <f t="shared" si="33"/>
        <v>38.257737259303262</v>
      </c>
      <c r="EG18" s="7">
        <f t="shared" si="33"/>
        <v>37.875159886710229</v>
      </c>
      <c r="EH18" s="7">
        <f t="shared" si="33"/>
        <v>37.496408287843124</v>
      </c>
      <c r="EI18" s="7">
        <f t="shared" si="33"/>
        <v>37.121444204964689</v>
      </c>
      <c r="EJ18" s="7">
        <f t="shared" si="33"/>
        <v>36.750229762915041</v>
      </c>
      <c r="EK18" s="7">
        <f t="shared" si="33"/>
        <v>36.382727465285889</v>
      </c>
      <c r="EL18" s="7">
        <f t="shared" si="33"/>
        <v>36.018900190633033</v>
      </c>
    </row>
    <row r="19" spans="2:142" x14ac:dyDescent="0.3">
      <c r="B19" t="s">
        <v>2</v>
      </c>
      <c r="J19" s="2">
        <v>34.799999999999997</v>
      </c>
      <c r="K19" s="2">
        <v>34.799999999999997</v>
      </c>
      <c r="N19" s="2">
        <v>34.799999999999997</v>
      </c>
      <c r="O19" s="2">
        <f>35.6</f>
        <v>35.6</v>
      </c>
      <c r="T19" s="2">
        <v>34.799999999999997</v>
      </c>
      <c r="U19" s="2">
        <v>34.799999999999997</v>
      </c>
      <c r="V19" s="2">
        <v>34.799999999999997</v>
      </c>
      <c r="W19" s="2">
        <v>34.799999999999997</v>
      </c>
      <c r="X19" s="2">
        <v>34.799999999999997</v>
      </c>
      <c r="Y19" s="2">
        <v>34.799999999999997</v>
      </c>
      <c r="Z19" s="2">
        <v>34.799999999999997</v>
      </c>
      <c r="AA19" s="2">
        <v>34.799999999999997</v>
      </c>
      <c r="AB19" s="2">
        <v>34.799999999999997</v>
      </c>
      <c r="AC19" s="2">
        <v>34.799999999999997</v>
      </c>
      <c r="AD19" s="2">
        <v>34.799999999999997</v>
      </c>
      <c r="AE19" s="2">
        <v>34.799999999999997</v>
      </c>
      <c r="AF19" s="2">
        <v>34.799999999999997</v>
      </c>
      <c r="AG19" s="2">
        <v>34.799999999999997</v>
      </c>
      <c r="AH19" s="2">
        <v>34.799999999999997</v>
      </c>
      <c r="AI19" s="2">
        <v>34.799999999999997</v>
      </c>
      <c r="AJ19" s="2">
        <v>34.799999999999997</v>
      </c>
    </row>
    <row r="20" spans="2:142" x14ac:dyDescent="0.3">
      <c r="B20" t="s">
        <v>27</v>
      </c>
      <c r="J20" s="6">
        <f>J18/J19</f>
        <v>0.18103448275862075</v>
      </c>
      <c r="K20" s="6">
        <f>K18/K19</f>
        <v>0.20977011494252873</v>
      </c>
      <c r="N20" s="6">
        <f>N18/N19</f>
        <v>0.22988505747126423</v>
      </c>
      <c r="O20" s="6">
        <f>O18/O19</f>
        <v>0.3146067415730337</v>
      </c>
      <c r="T20" s="6">
        <f t="shared" ref="T20:Y20" si="34">T18/T19</f>
        <v>-5.7471264367816112E-2</v>
      </c>
      <c r="U20" s="6">
        <f t="shared" si="34"/>
        <v>0.43103448275862072</v>
      </c>
      <c r="V20" s="6">
        <f t="shared" si="34"/>
        <v>0.35919540229885055</v>
      </c>
      <c r="W20" s="6">
        <f t="shared" si="34"/>
        <v>6.6091954022988425E-2</v>
      </c>
      <c r="X20" s="6">
        <f t="shared" si="34"/>
        <v>0.52586206896551779</v>
      </c>
      <c r="Y20" s="6">
        <f t="shared" si="34"/>
        <v>0.88505747126436785</v>
      </c>
      <c r="Z20" s="6">
        <f t="shared" ref="Z20" si="35">Z18/Z19</f>
        <v>1.266988505747126</v>
      </c>
      <c r="AA20" s="6">
        <f t="shared" ref="AA20" si="36">AA18/AA19</f>
        <v>1.5504918390804598</v>
      </c>
      <c r="AB20" s="6">
        <f t="shared" ref="AB20" si="37">AB18/AB19</f>
        <v>1.7072317267241381</v>
      </c>
      <c r="AC20" s="6">
        <f t="shared" ref="AC20" si="38">AC18/AC19</f>
        <v>1.8424323017241377</v>
      </c>
      <c r="AD20" s="6">
        <f t="shared" ref="AD20" si="39">AD18/AD19</f>
        <v>1.9922396749857767</v>
      </c>
      <c r="AE20" s="6">
        <f t="shared" ref="AE20" si="40">AE18/AE19</f>
        <v>2.1254003725395085</v>
      </c>
      <c r="AF20" s="6">
        <f t="shared" ref="AF20" si="41">AF18/AF19</f>
        <v>2.2726558623230195</v>
      </c>
      <c r="AG20" s="6">
        <f t="shared" ref="AG20" si="42">AG18/AG19</f>
        <v>2.4352653112389757</v>
      </c>
      <c r="AH20" s="6">
        <f t="shared" ref="AH20" si="43">AH18/AH19</f>
        <v>2.614372736651148</v>
      </c>
      <c r="AI20" s="6">
        <f t="shared" ref="AI20" si="44">AI18/AI19</f>
        <v>2.8035916988979097</v>
      </c>
      <c r="AJ20" s="6">
        <f t="shared" ref="AJ20" si="45">AJ18/AJ19</f>
        <v>3.0034511766032788</v>
      </c>
    </row>
    <row r="22" spans="2:142" x14ac:dyDescent="0.3">
      <c r="B22" t="s">
        <v>44</v>
      </c>
      <c r="J22" s="9"/>
      <c r="N22" s="9">
        <f>N3/J3-1</f>
        <v>8.6153846153846025E-2</v>
      </c>
      <c r="O22" s="9">
        <f>O3/K3-1</f>
        <v>0.3904109589041096</v>
      </c>
      <c r="T22" s="9"/>
      <c r="U22" s="9">
        <f>U3/T3-1</f>
        <v>0.45077720207253891</v>
      </c>
      <c r="V22" s="9">
        <f t="shared" ref="V22:Y22" si="46">V3/U3-1</f>
        <v>0.51071428571428568</v>
      </c>
      <c r="W22" s="9">
        <f t="shared" si="46"/>
        <v>0.8085106382978724</v>
      </c>
      <c r="X22" s="9">
        <f t="shared" si="46"/>
        <v>0.42091503267973862</v>
      </c>
      <c r="Y22" s="9">
        <f t="shared" si="46"/>
        <v>0.170193192272309</v>
      </c>
      <c r="Z22" s="9">
        <f t="shared" ref="Z22:AJ22" si="47">Z3/Y3-1</f>
        <v>0.33647798742138368</v>
      </c>
      <c r="AA22" s="9">
        <f t="shared" si="47"/>
        <v>0.16999999999999993</v>
      </c>
      <c r="AB22" s="9">
        <f t="shared" si="47"/>
        <v>9.000000000000008E-2</v>
      </c>
      <c r="AC22" s="9">
        <f t="shared" si="47"/>
        <v>7.0000000000000062E-2</v>
      </c>
      <c r="AD22" s="9">
        <f t="shared" si="47"/>
        <v>6.0000000000000053E-2</v>
      </c>
      <c r="AE22" s="9">
        <f t="shared" si="47"/>
        <v>5.0000000000000044E-2</v>
      </c>
      <c r="AF22" s="9">
        <f t="shared" si="47"/>
        <v>5.0000000000000044E-2</v>
      </c>
      <c r="AG22" s="9">
        <f t="shared" si="47"/>
        <v>5.0000000000000044E-2</v>
      </c>
      <c r="AH22" s="9">
        <f t="shared" si="47"/>
        <v>5.0000000000000044E-2</v>
      </c>
      <c r="AI22" s="9">
        <f t="shared" si="47"/>
        <v>5.0000000000000044E-2</v>
      </c>
      <c r="AJ22" s="9">
        <f t="shared" si="47"/>
        <v>5.0000000000000044E-2</v>
      </c>
    </row>
    <row r="23" spans="2:142" x14ac:dyDescent="0.3">
      <c r="B23" t="s">
        <v>45</v>
      </c>
      <c r="J23" s="9">
        <f>J5/J3</f>
        <v>0.84307692307692306</v>
      </c>
      <c r="N23" s="9">
        <f>N5/N3</f>
        <v>0.93767705382436251</v>
      </c>
      <c r="O23" s="9">
        <f>O5/O3</f>
        <v>0.94581280788177335</v>
      </c>
      <c r="T23" s="9">
        <f t="shared" ref="T23:Y23" si="48">T5/T3</f>
        <v>1</v>
      </c>
      <c r="U23" s="9">
        <f t="shared" si="48"/>
        <v>1</v>
      </c>
      <c r="V23" s="9">
        <f t="shared" si="48"/>
        <v>1</v>
      </c>
      <c r="W23" s="9">
        <f t="shared" si="48"/>
        <v>0.96078431372549022</v>
      </c>
      <c r="X23" s="9">
        <f t="shared" si="48"/>
        <v>0.91628334866605343</v>
      </c>
      <c r="Y23" s="9">
        <f t="shared" si="48"/>
        <v>0.94103773584905659</v>
      </c>
      <c r="Z23" s="9">
        <f t="shared" ref="Z23:AJ23" si="49">Z5/Z3</f>
        <v>0.94</v>
      </c>
      <c r="AA23" s="9">
        <f t="shared" si="49"/>
        <v>0.94000000000000006</v>
      </c>
      <c r="AB23" s="9">
        <f t="shared" si="49"/>
        <v>0.94</v>
      </c>
      <c r="AC23" s="9">
        <f t="shared" si="49"/>
        <v>0.94</v>
      </c>
      <c r="AD23" s="9">
        <f t="shared" si="49"/>
        <v>0.94</v>
      </c>
      <c r="AE23" s="9">
        <f t="shared" si="49"/>
        <v>0.94</v>
      </c>
      <c r="AF23" s="9">
        <f t="shared" si="49"/>
        <v>0.94</v>
      </c>
      <c r="AG23" s="9">
        <f t="shared" si="49"/>
        <v>0.94</v>
      </c>
      <c r="AH23" s="9">
        <f t="shared" si="49"/>
        <v>0.93999999999999984</v>
      </c>
      <c r="AI23" s="9">
        <f t="shared" si="49"/>
        <v>0.94</v>
      </c>
      <c r="AJ23" s="9">
        <f t="shared" si="49"/>
        <v>0.94</v>
      </c>
    </row>
    <row r="24" spans="2:142" x14ac:dyDescent="0.3">
      <c r="B24" t="s">
        <v>46</v>
      </c>
      <c r="J24" s="9">
        <f>J6/J3</f>
        <v>0.29846153846153844</v>
      </c>
      <c r="N24" s="9">
        <f>N6/N3</f>
        <v>0.30878186968838528</v>
      </c>
      <c r="O24" s="9">
        <f>O6/O3</f>
        <v>0.37438423645320196</v>
      </c>
      <c r="T24" s="9">
        <f t="shared" ref="T24:Y24" si="50">T6/T3</f>
        <v>0.56476683937823835</v>
      </c>
      <c r="U24" s="9">
        <f t="shared" si="50"/>
        <v>0.28928571428571426</v>
      </c>
      <c r="V24" s="9">
        <f t="shared" si="50"/>
        <v>0.33333333333333337</v>
      </c>
      <c r="W24" s="9">
        <f t="shared" si="50"/>
        <v>0.44052287581699351</v>
      </c>
      <c r="X24" s="9">
        <f t="shared" si="50"/>
        <v>0.32474701011959517</v>
      </c>
      <c r="Y24" s="9">
        <f t="shared" si="50"/>
        <v>0.32940251572327039</v>
      </c>
      <c r="Z24" s="9">
        <f t="shared" ref="Z24:AJ24" si="51">Z6/Z3</f>
        <v>0.32</v>
      </c>
      <c r="AA24" s="9">
        <f t="shared" si="51"/>
        <v>0.31</v>
      </c>
      <c r="AB24" s="9">
        <f t="shared" si="51"/>
        <v>0.31</v>
      </c>
      <c r="AC24" s="9">
        <f t="shared" si="51"/>
        <v>0.31</v>
      </c>
      <c r="AD24" s="9">
        <f t="shared" si="51"/>
        <v>0.31</v>
      </c>
      <c r="AE24" s="9">
        <f t="shared" si="51"/>
        <v>0.31</v>
      </c>
      <c r="AF24" s="9">
        <f t="shared" si="51"/>
        <v>0.31</v>
      </c>
      <c r="AG24" s="9">
        <f t="shared" si="51"/>
        <v>0.31</v>
      </c>
      <c r="AH24" s="9">
        <f t="shared" si="51"/>
        <v>0.31</v>
      </c>
      <c r="AI24" s="9">
        <f t="shared" si="51"/>
        <v>0.31</v>
      </c>
      <c r="AJ24" s="9">
        <f t="shared" si="51"/>
        <v>0.31</v>
      </c>
      <c r="AL24" t="s">
        <v>51</v>
      </c>
      <c r="AM24" s="9">
        <v>-0.01</v>
      </c>
    </row>
    <row r="25" spans="2:142" x14ac:dyDescent="0.3">
      <c r="B25" t="s">
        <v>47</v>
      </c>
      <c r="J25" s="9"/>
      <c r="N25" s="9">
        <f>N7/J7-1</f>
        <v>0.25806451612903225</v>
      </c>
      <c r="O25" s="9">
        <f>O7/K7-1</f>
        <v>0.625</v>
      </c>
      <c r="T25" s="9"/>
      <c r="U25" s="9">
        <f>U7/T7-1</f>
        <v>0</v>
      </c>
      <c r="V25" s="9">
        <f t="shared" ref="V25:Y25" si="52">V7/U7-1</f>
        <v>0.56000000000000005</v>
      </c>
      <c r="W25" s="9">
        <f t="shared" si="52"/>
        <v>0.74358974358974361</v>
      </c>
      <c r="X25" s="9">
        <f t="shared" si="52"/>
        <v>0.51470588235294135</v>
      </c>
      <c r="Y25" s="9">
        <f t="shared" si="52"/>
        <v>0.34951456310679596</v>
      </c>
      <c r="Z25" s="9">
        <f t="shared" ref="Z25:AJ25" si="53">Z7/Y7-1</f>
        <v>0.21999999999999975</v>
      </c>
      <c r="AA25" s="9">
        <f t="shared" si="53"/>
        <v>0.17999999999999994</v>
      </c>
      <c r="AB25" s="9">
        <f t="shared" si="53"/>
        <v>0.1399999999999999</v>
      </c>
      <c r="AC25" s="9">
        <f t="shared" si="53"/>
        <v>0.10000000000000009</v>
      </c>
      <c r="AD25" s="9">
        <f t="shared" si="53"/>
        <v>5.0000000000000044E-2</v>
      </c>
      <c r="AE25" s="9">
        <f t="shared" si="53"/>
        <v>5.0000000000000044E-2</v>
      </c>
      <c r="AF25" s="9">
        <f t="shared" si="53"/>
        <v>4.0000000000000036E-2</v>
      </c>
      <c r="AG25" s="9">
        <f t="shared" si="53"/>
        <v>3.0000000000000027E-2</v>
      </c>
      <c r="AH25" s="9">
        <f t="shared" si="53"/>
        <v>2.0000000000000018E-2</v>
      </c>
      <c r="AI25" s="9">
        <f t="shared" si="53"/>
        <v>2.0000000000000018E-2</v>
      </c>
      <c r="AJ25" s="9">
        <f t="shared" si="53"/>
        <v>2.0000000000000018E-2</v>
      </c>
      <c r="AL25" t="s">
        <v>52</v>
      </c>
      <c r="AM25" s="9">
        <v>0.11</v>
      </c>
    </row>
    <row r="26" spans="2:142" x14ac:dyDescent="0.3">
      <c r="B26" t="s">
        <v>48</v>
      </c>
      <c r="J26" s="9"/>
      <c r="N26" s="9">
        <f>N8/J8-1</f>
        <v>0.28571428571428581</v>
      </c>
      <c r="O26" s="9">
        <f>O8/K8-1</f>
        <v>0.22222222222222232</v>
      </c>
      <c r="T26" s="9"/>
      <c r="U26" s="9">
        <f t="shared" ref="U26:Y26" si="54">U8/T8-1</f>
        <v>0.4285714285714286</v>
      </c>
      <c r="V26" s="9">
        <f t="shared" si="54"/>
        <v>1.1666666666666665</v>
      </c>
      <c r="W26" s="9">
        <f t="shared" si="54"/>
        <v>0.5</v>
      </c>
      <c r="X26" s="9">
        <f t="shared" si="54"/>
        <v>0.24615384615384617</v>
      </c>
      <c r="Y26" s="9">
        <f t="shared" si="54"/>
        <v>0.13580246913580241</v>
      </c>
      <c r="Z26" s="9">
        <f t="shared" ref="Z26:AJ26" si="55">Z8/Y8-1</f>
        <v>0.25</v>
      </c>
      <c r="AA26" s="9">
        <f t="shared" si="55"/>
        <v>0.14999999999999991</v>
      </c>
      <c r="AB26" s="9">
        <f t="shared" si="55"/>
        <v>5.0000000000000044E-2</v>
      </c>
      <c r="AC26" s="9">
        <f t="shared" si="55"/>
        <v>4.0000000000000036E-2</v>
      </c>
      <c r="AD26" s="9">
        <f t="shared" si="55"/>
        <v>3.0000000000000027E-2</v>
      </c>
      <c r="AE26" s="9">
        <f t="shared" si="55"/>
        <v>2.0000000000000018E-2</v>
      </c>
      <c r="AF26" s="9">
        <f t="shared" si="55"/>
        <v>2.0000000000000018E-2</v>
      </c>
      <c r="AG26" s="9">
        <f t="shared" si="55"/>
        <v>2.0000000000000018E-2</v>
      </c>
      <c r="AH26" s="9">
        <f t="shared" si="55"/>
        <v>2.0000000000000018E-2</v>
      </c>
      <c r="AI26" s="9">
        <f t="shared" si="55"/>
        <v>2.0000000000000018E-2</v>
      </c>
      <c r="AJ26" s="9">
        <f t="shared" si="55"/>
        <v>2.0000000000000018E-2</v>
      </c>
      <c r="AL26" t="s">
        <v>53</v>
      </c>
      <c r="AM26" s="2">
        <f>NPV(AM25,Z18:EL18)</f>
        <v>701.42605820735139</v>
      </c>
    </row>
    <row r="27" spans="2:142" x14ac:dyDescent="0.3">
      <c r="B27" t="s">
        <v>49</v>
      </c>
      <c r="J27" s="9">
        <f>J10/J3</f>
        <v>0.2338461538461539</v>
      </c>
      <c r="N27" s="9">
        <f>N10/N3</f>
        <v>0.26345609065155789</v>
      </c>
      <c r="O27" s="9">
        <f>O10/O3</f>
        <v>0.2536945812807882</v>
      </c>
      <c r="T27" s="9">
        <f t="shared" ref="T27:Y27" si="56">T10/T3</f>
        <v>8.8082901554404111E-2</v>
      </c>
      <c r="U27" s="9">
        <f t="shared" si="56"/>
        <v>0.40714285714285708</v>
      </c>
      <c r="V27" s="9">
        <f t="shared" si="56"/>
        <v>0.26713947990543729</v>
      </c>
      <c r="W27" s="9">
        <f t="shared" si="56"/>
        <v>0.17647058823529413</v>
      </c>
      <c r="X27" s="9">
        <f t="shared" si="56"/>
        <v>0.27322907083716669</v>
      </c>
      <c r="Y27" s="9">
        <f t="shared" si="56"/>
        <v>0.285377358490566</v>
      </c>
      <c r="Z27" s="9">
        <f t="shared" ref="Z27:AJ27" si="57">Z10/Z3</f>
        <v>0.31730588235294105</v>
      </c>
      <c r="AA27" s="9">
        <f t="shared" si="57"/>
        <v>0.32992237305178485</v>
      </c>
      <c r="AB27" s="9">
        <f t="shared" si="57"/>
        <v>0.33262751740075003</v>
      </c>
      <c r="AC27" s="9">
        <f t="shared" si="57"/>
        <v>0.33506485076305165</v>
      </c>
      <c r="AD27" s="9">
        <f t="shared" si="57"/>
        <v>0.34137111782740609</v>
      </c>
      <c r="AE27" s="9">
        <f t="shared" si="57"/>
        <v>0.34655622610735409</v>
      </c>
      <c r="AF27" s="9">
        <f t="shared" si="57"/>
        <v>0.35261366550667911</v>
      </c>
      <c r="AG27" s="9">
        <f t="shared" si="57"/>
        <v>0.35952823110835325</v>
      </c>
      <c r="AH27" s="9">
        <f t="shared" si="57"/>
        <v>0.36725599593382879</v>
      </c>
      <c r="AI27" s="9">
        <f t="shared" si="57"/>
        <v>0.37476296747857651</v>
      </c>
      <c r="AJ27" s="9">
        <f t="shared" si="57"/>
        <v>0.38205545412204583</v>
      </c>
      <c r="AL27" t="s">
        <v>57</v>
      </c>
      <c r="AM27" s="2">
        <f>Main!D8</f>
        <v>-67</v>
      </c>
    </row>
    <row r="28" spans="2:142" x14ac:dyDescent="0.3">
      <c r="B28" t="s">
        <v>25</v>
      </c>
      <c r="J28" s="9">
        <f>J17/J16</f>
        <v>-3.2786885245901634E-2</v>
      </c>
      <c r="N28" s="9">
        <f>N17/N16</f>
        <v>0.12087912087912096</v>
      </c>
      <c r="O28" s="9">
        <f>O17/O16</f>
        <v>-2.7522935779816512E-2</v>
      </c>
      <c r="T28" s="9">
        <f t="shared" ref="T28:Y28" si="58">T17/T16</f>
        <v>-0.81818181818181779</v>
      </c>
      <c r="U28" s="9">
        <f t="shared" si="58"/>
        <v>-0.40186915887850466</v>
      </c>
      <c r="V28" s="9">
        <f t="shared" si="58"/>
        <v>-2.4590163934426233E-2</v>
      </c>
      <c r="W28" s="9">
        <f t="shared" si="58"/>
        <v>0.17857142857142874</v>
      </c>
      <c r="X28" s="9">
        <f t="shared" si="58"/>
        <v>9.4059405940593976E-2</v>
      </c>
      <c r="Y28" s="9">
        <f t="shared" si="58"/>
        <v>0.10204081632653061</v>
      </c>
      <c r="Z28" s="9">
        <f t="shared" ref="Z28:AJ28" si="59">Z17/Z16</f>
        <v>0.15</v>
      </c>
      <c r="AA28" s="9">
        <f t="shared" si="59"/>
        <v>0.15</v>
      </c>
      <c r="AB28" s="9">
        <f t="shared" si="59"/>
        <v>0.15</v>
      </c>
      <c r="AC28" s="9">
        <f t="shared" si="59"/>
        <v>0.15</v>
      </c>
      <c r="AD28" s="9">
        <f t="shared" si="59"/>
        <v>0.15</v>
      </c>
      <c r="AE28" s="9">
        <f t="shared" si="59"/>
        <v>0.15</v>
      </c>
      <c r="AF28" s="9">
        <f t="shared" si="59"/>
        <v>0.15</v>
      </c>
      <c r="AG28" s="9">
        <f t="shared" si="59"/>
        <v>0.15</v>
      </c>
      <c r="AH28" s="9">
        <f t="shared" si="59"/>
        <v>0.15</v>
      </c>
      <c r="AI28" s="9">
        <f t="shared" si="59"/>
        <v>0.15</v>
      </c>
      <c r="AJ28" s="9">
        <f t="shared" si="59"/>
        <v>0.15</v>
      </c>
      <c r="AL28" t="s">
        <v>54</v>
      </c>
      <c r="AM28" s="2">
        <f>AM26+AM27</f>
        <v>634.42605820735139</v>
      </c>
    </row>
    <row r="29" spans="2:142" x14ac:dyDescent="0.3">
      <c r="B29" t="s">
        <v>50</v>
      </c>
      <c r="J29" s="9">
        <f>J18/J3</f>
        <v>0.19384615384615389</v>
      </c>
      <c r="N29" s="9">
        <f>N18/N3</f>
        <v>0.22662889518413584</v>
      </c>
      <c r="O29" s="9">
        <f>O18/O3</f>
        <v>0.27586206896551724</v>
      </c>
      <c r="T29" s="9">
        <f t="shared" ref="T29:Y29" si="60">T18/T3</f>
        <v>-0.10362694300518137</v>
      </c>
      <c r="U29" s="9">
        <f t="shared" si="60"/>
        <v>0.5357142857142857</v>
      </c>
      <c r="V29" s="9">
        <f t="shared" si="60"/>
        <v>0.29550827423167847</v>
      </c>
      <c r="W29" s="9">
        <f t="shared" si="60"/>
        <v>3.0065359477124146E-2</v>
      </c>
      <c r="X29" s="9">
        <f t="shared" si="60"/>
        <v>0.16835326586936539</v>
      </c>
      <c r="Y29" s="9">
        <f t="shared" si="60"/>
        <v>0.24213836477987419</v>
      </c>
      <c r="Z29" s="9">
        <f t="shared" ref="Z29:AJ29" si="61">Z18/Z3</f>
        <v>0.25935999999999987</v>
      </c>
      <c r="AA29" s="9">
        <f t="shared" si="61"/>
        <v>0.27127760683760688</v>
      </c>
      <c r="AB29" s="9">
        <f t="shared" si="61"/>
        <v>0.27403777699364856</v>
      </c>
      <c r="AC29" s="9">
        <f t="shared" si="61"/>
        <v>0.27639216281160889</v>
      </c>
      <c r="AD29" s="9">
        <f t="shared" si="61"/>
        <v>0.28194857545213992</v>
      </c>
      <c r="AE29" s="9">
        <f t="shared" si="61"/>
        <v>0.28647041237394821</v>
      </c>
      <c r="AF29" s="9">
        <f t="shared" si="61"/>
        <v>0.2917315498922966</v>
      </c>
      <c r="AG29" s="9">
        <f t="shared" si="61"/>
        <v>0.2977191053678051</v>
      </c>
      <c r="AH29" s="9">
        <f t="shared" si="61"/>
        <v>0.3043957816175622</v>
      </c>
      <c r="AI29" s="9">
        <f t="shared" si="61"/>
        <v>0.31088272498540348</v>
      </c>
      <c r="AJ29" s="9">
        <f t="shared" si="61"/>
        <v>0.31718533680516181</v>
      </c>
      <c r="AL29" t="s">
        <v>55</v>
      </c>
      <c r="AM29" s="1">
        <f>AM28/AJ19</f>
        <v>18.230633856533089</v>
      </c>
    </row>
    <row r="30" spans="2:142" x14ac:dyDescent="0.3">
      <c r="AL30" t="s">
        <v>56</v>
      </c>
      <c r="AM30" s="1">
        <f>Main!D3</f>
        <v>12.02</v>
      </c>
    </row>
    <row r="31" spans="2:142" x14ac:dyDescent="0.3">
      <c r="AL31" s="7" t="s">
        <v>58</v>
      </c>
      <c r="AM31" s="10">
        <f>AM29/AM30-1</f>
        <v>0.51669166859676285</v>
      </c>
    </row>
    <row r="32" spans="2:142" x14ac:dyDescent="0.3">
      <c r="AL32" t="s">
        <v>59</v>
      </c>
      <c r="AM32" s="5" t="s">
        <v>60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2025-03-27T08:46:41Z</dcterms:created>
  <dcterms:modified xsi:type="dcterms:W3CDTF">2025-05-27T13:49:28Z</dcterms:modified>
</cp:coreProperties>
</file>