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tos\Documents\GitHub\FinanceModels\Financial Analysis\"/>
    </mc:Choice>
  </mc:AlternateContent>
  <xr:revisionPtr revIDLastSave="0" documentId="13_ncr:1_{44A01B4B-DDBF-4D7A-8DF5-CFFAE1CE6E7C}" xr6:coauthVersionLast="47" xr6:coauthVersionMax="47" xr10:uidLastSave="{00000000-0000-0000-0000-000000000000}"/>
  <bookViews>
    <workbookView xWindow="-108" yWindow="-108" windowWidth="23256" windowHeight="12576" activeTab="1" xr2:uid="{CD4D84B2-B31F-4187-8372-9183EEE36223}"/>
  </bookViews>
  <sheets>
    <sheet name="Main" sheetId="1" r:id="rId1"/>
    <sheet name="Model"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0" i="2" l="1"/>
  <c r="R20" i="2"/>
  <c r="R23" i="2" s="1"/>
  <c r="Q20" i="2"/>
  <c r="P40" i="2"/>
  <c r="L18" i="2"/>
  <c r="P18" i="2"/>
  <c r="D7" i="1"/>
  <c r="D6" i="1"/>
  <c r="Y27" i="2"/>
  <c r="Z27" i="2" s="1"/>
  <c r="AA27" i="2" s="1"/>
  <c r="AB27" i="2" s="1"/>
  <c r="AC27" i="2" s="1"/>
  <c r="AK49" i="2"/>
  <c r="AH37" i="2"/>
  <c r="AG37" i="2"/>
  <c r="AF37" i="2"/>
  <c r="AE37" i="2"/>
  <c r="AD37" i="2"/>
  <c r="AC37" i="2"/>
  <c r="AB37" i="2"/>
  <c r="AA37" i="2"/>
  <c r="Z37" i="2"/>
  <c r="Y37" i="2"/>
  <c r="W44" i="2"/>
  <c r="V44" i="2"/>
  <c r="U44" i="2"/>
  <c r="W43" i="2"/>
  <c r="V43" i="2"/>
  <c r="U43" i="2"/>
  <c r="X35" i="2"/>
  <c r="X34" i="2"/>
  <c r="X32" i="2"/>
  <c r="Y32" i="2" s="1"/>
  <c r="Z32" i="2" s="1"/>
  <c r="AA32" i="2" s="1"/>
  <c r="AB32" i="2" s="1"/>
  <c r="AC32" i="2" s="1"/>
  <c r="AD32" i="2" s="1"/>
  <c r="AE32" i="2" s="1"/>
  <c r="AF32" i="2" s="1"/>
  <c r="AG32" i="2" s="1"/>
  <c r="AH32" i="2" s="1"/>
  <c r="X31" i="2"/>
  <c r="Y31" i="2" s="1"/>
  <c r="Z31" i="2" s="1"/>
  <c r="AA31" i="2" s="1"/>
  <c r="AB31" i="2" s="1"/>
  <c r="AC31" i="2" s="1"/>
  <c r="AD31" i="2" s="1"/>
  <c r="X29" i="2"/>
  <c r="X28" i="2"/>
  <c r="Y28" i="2" s="1"/>
  <c r="X27" i="2"/>
  <c r="X46" i="2" s="1"/>
  <c r="X37" i="2"/>
  <c r="X21" i="2"/>
  <c r="Y21" i="2" s="1"/>
  <c r="R48" i="2"/>
  <c r="Q48" i="2"/>
  <c r="P48" i="2"/>
  <c r="R46" i="2"/>
  <c r="Q46" i="2"/>
  <c r="P46" i="2"/>
  <c r="R44" i="2"/>
  <c r="Q44" i="2"/>
  <c r="Q43" i="2"/>
  <c r="R37" i="2"/>
  <c r="Q37" i="2"/>
  <c r="P37" i="2"/>
  <c r="Q25" i="2"/>
  <c r="Q26" i="2" s="1"/>
  <c r="Q30" i="2" s="1"/>
  <c r="R24" i="2"/>
  <c r="Q24" i="2"/>
  <c r="P44" i="2"/>
  <c r="Q23" i="2"/>
  <c r="P43" i="2"/>
  <c r="N44" i="2"/>
  <c r="M44" i="2"/>
  <c r="L44" i="2"/>
  <c r="K44" i="2"/>
  <c r="J44" i="2"/>
  <c r="I44" i="2"/>
  <c r="H44" i="2"/>
  <c r="G44" i="2"/>
  <c r="N43" i="2"/>
  <c r="M43" i="2"/>
  <c r="L43" i="2"/>
  <c r="K43" i="2"/>
  <c r="J43" i="2"/>
  <c r="I43" i="2"/>
  <c r="H43" i="2"/>
  <c r="G43" i="2"/>
  <c r="O44" i="2"/>
  <c r="O43" i="2"/>
  <c r="Q22" i="2"/>
  <c r="Q47" i="2" s="1"/>
  <c r="P22" i="2"/>
  <c r="P47" i="2" s="1"/>
  <c r="U22" i="2"/>
  <c r="Q49" i="2" l="1"/>
  <c r="Q33" i="2"/>
  <c r="Q45" i="2"/>
  <c r="Q42" i="2"/>
  <c r="Z28" i="2"/>
  <c r="Y48" i="2"/>
  <c r="X48" i="2"/>
  <c r="Y46" i="2"/>
  <c r="X24" i="2"/>
  <c r="X44" i="2" s="1"/>
  <c r="Z21" i="2"/>
  <c r="Y24" i="2"/>
  <c r="Y44" i="2"/>
  <c r="P25" i="2"/>
  <c r="P26" i="2" s="1"/>
  <c r="P42" i="2"/>
  <c r="AA46" i="2"/>
  <c r="Z46" i="2"/>
  <c r="AE31" i="2"/>
  <c r="X23" i="2"/>
  <c r="R25" i="2"/>
  <c r="X20" i="2"/>
  <c r="R43" i="2"/>
  <c r="Q36" i="2" l="1"/>
  <c r="Q50" i="2"/>
  <c r="AA28" i="2"/>
  <c r="Z48" i="2"/>
  <c r="X25" i="2"/>
  <c r="AA21" i="2"/>
  <c r="Z24" i="2"/>
  <c r="Z44" i="2" s="1"/>
  <c r="Y23" i="2"/>
  <c r="Y25" i="2" s="1"/>
  <c r="Z20" i="2"/>
  <c r="Y22" i="2"/>
  <c r="P45" i="2"/>
  <c r="P30" i="2"/>
  <c r="AB46" i="2"/>
  <c r="AF31" i="2"/>
  <c r="X43" i="2"/>
  <c r="U47" i="2"/>
  <c r="V48" i="2"/>
  <c r="V46" i="2"/>
  <c r="W48" i="2"/>
  <c r="W46" i="2"/>
  <c r="W47" i="2"/>
  <c r="M48" i="2"/>
  <c r="L48" i="2"/>
  <c r="K48" i="2"/>
  <c r="M46" i="2"/>
  <c r="L46" i="2"/>
  <c r="K46" i="2"/>
  <c r="G37" i="2"/>
  <c r="G25" i="2"/>
  <c r="G22" i="2"/>
  <c r="G47" i="2" s="1"/>
  <c r="K37" i="2"/>
  <c r="K25" i="2"/>
  <c r="K22" i="2"/>
  <c r="N29" i="2"/>
  <c r="J35" i="2"/>
  <c r="J34" i="2"/>
  <c r="J32" i="2"/>
  <c r="J31" i="2"/>
  <c r="J28" i="2"/>
  <c r="J27" i="2"/>
  <c r="J24" i="2"/>
  <c r="J23" i="2"/>
  <c r="J25" i="2" s="1"/>
  <c r="J21" i="2"/>
  <c r="J20" i="2"/>
  <c r="J37" i="2"/>
  <c r="N35" i="2"/>
  <c r="N34" i="2"/>
  <c r="N32" i="2"/>
  <c r="N31" i="2"/>
  <c r="N28" i="2"/>
  <c r="N27" i="2"/>
  <c r="N24" i="2"/>
  <c r="N23" i="2"/>
  <c r="N25" i="2" s="1"/>
  <c r="N21" i="2"/>
  <c r="N20" i="2"/>
  <c r="R22" i="2" s="1"/>
  <c r="N37" i="2"/>
  <c r="H37" i="2"/>
  <c r="H25" i="2"/>
  <c r="H22" i="2"/>
  <c r="H47" i="2" s="1"/>
  <c r="L37" i="2"/>
  <c r="L25" i="2"/>
  <c r="L22" i="2"/>
  <c r="L42" i="2" s="1"/>
  <c r="I37" i="2"/>
  <c r="I25" i="2"/>
  <c r="I22" i="2"/>
  <c r="I47" i="2" s="1"/>
  <c r="M37" i="2"/>
  <c r="M25" i="2"/>
  <c r="M22" i="2"/>
  <c r="M42" i="2" s="1"/>
  <c r="O48" i="2"/>
  <c r="O46" i="2"/>
  <c r="O40" i="2"/>
  <c r="U13" i="2"/>
  <c r="U10" i="2"/>
  <c r="U7" i="2"/>
  <c r="V13" i="2"/>
  <c r="V10" i="2"/>
  <c r="V7" i="2"/>
  <c r="W13" i="2"/>
  <c r="W10" i="2"/>
  <c r="W7" i="2"/>
  <c r="U37" i="2"/>
  <c r="U25" i="2"/>
  <c r="V37" i="2"/>
  <c r="V25" i="2"/>
  <c r="V22" i="2"/>
  <c r="V47" i="2" s="1"/>
  <c r="W37" i="2"/>
  <c r="W25" i="2"/>
  <c r="W22" i="2"/>
  <c r="K18" i="2"/>
  <c r="O18" i="2"/>
  <c r="O37" i="2"/>
  <c r="O25" i="2"/>
  <c r="O22" i="2"/>
  <c r="D8" i="1"/>
  <c r="AK46" i="2" s="1"/>
  <c r="D5" i="1"/>
  <c r="D4" i="1"/>
  <c r="F3" i="1"/>
  <c r="Q38" i="2" l="1"/>
  <c r="Q51" i="2"/>
  <c r="AB28" i="2"/>
  <c r="AA48" i="2"/>
  <c r="Y43" i="2"/>
  <c r="AB21" i="2"/>
  <c r="AA24" i="2"/>
  <c r="AA44" i="2" s="1"/>
  <c r="Y47" i="2"/>
  <c r="AA20" i="2"/>
  <c r="Z23" i="2"/>
  <c r="Z22" i="2"/>
  <c r="P49" i="2"/>
  <c r="P33" i="2"/>
  <c r="Y26" i="2"/>
  <c r="D9" i="1"/>
  <c r="AD27" i="2"/>
  <c r="AC46" i="2"/>
  <c r="AG31" i="2"/>
  <c r="R42" i="2"/>
  <c r="R47" i="2"/>
  <c r="X22" i="2"/>
  <c r="Y42" i="2" s="1"/>
  <c r="R26" i="2"/>
  <c r="K42" i="2"/>
  <c r="W42" i="2"/>
  <c r="N48" i="2"/>
  <c r="G26" i="2"/>
  <c r="V42" i="2"/>
  <c r="O47" i="2"/>
  <c r="K47" i="2"/>
  <c r="O42" i="2"/>
  <c r="L47" i="2"/>
  <c r="M47" i="2"/>
  <c r="N46" i="2"/>
  <c r="K26" i="2"/>
  <c r="J22" i="2"/>
  <c r="N22" i="2"/>
  <c r="N47" i="2" s="1"/>
  <c r="W14" i="2"/>
  <c r="U14" i="2"/>
  <c r="H26" i="2"/>
  <c r="L26" i="2"/>
  <c r="I26" i="2"/>
  <c r="M26" i="2"/>
  <c r="V14" i="2"/>
  <c r="O26" i="2"/>
  <c r="U26" i="2"/>
  <c r="V26" i="2"/>
  <c r="W26" i="2"/>
  <c r="W45" i="2" s="1"/>
  <c r="X54" i="2" l="1"/>
  <c r="X55" i="2"/>
  <c r="AC28" i="2"/>
  <c r="AB48" i="2"/>
  <c r="AC21" i="2"/>
  <c r="AB24" i="2"/>
  <c r="AB44" i="2" s="1"/>
  <c r="Z42" i="2"/>
  <c r="Z47" i="2"/>
  <c r="Z25" i="2"/>
  <c r="Z26" i="2" s="1"/>
  <c r="Z43" i="2"/>
  <c r="P36" i="2"/>
  <c r="P50" i="2"/>
  <c r="Y30" i="2"/>
  <c r="Y45" i="2"/>
  <c r="AB20" i="2"/>
  <c r="AA22" i="2"/>
  <c r="AA23" i="2"/>
  <c r="AE27" i="2"/>
  <c r="AD46" i="2"/>
  <c r="AH31" i="2"/>
  <c r="X42" i="2"/>
  <c r="X47" i="2"/>
  <c r="X26" i="2"/>
  <c r="R30" i="2"/>
  <c r="R45" i="2"/>
  <c r="M30" i="2"/>
  <c r="M45" i="2"/>
  <c r="I30" i="2"/>
  <c r="I45" i="2"/>
  <c r="H30" i="2"/>
  <c r="H45" i="2"/>
  <c r="G30" i="2"/>
  <c r="G45" i="2"/>
  <c r="K30" i="2"/>
  <c r="K45" i="2"/>
  <c r="V30" i="2"/>
  <c r="V45" i="2"/>
  <c r="L30" i="2"/>
  <c r="L45" i="2"/>
  <c r="N26" i="2"/>
  <c r="N42" i="2"/>
  <c r="J26" i="2"/>
  <c r="J47" i="2"/>
  <c r="U30" i="2"/>
  <c r="U45" i="2"/>
  <c r="O30" i="2"/>
  <c r="O45" i="2"/>
  <c r="W30" i="2"/>
  <c r="AD28" i="2" l="1"/>
  <c r="AC48" i="2"/>
  <c r="AD21" i="2"/>
  <c r="AC24" i="2"/>
  <c r="AC44" i="2" s="1"/>
  <c r="Z30" i="2"/>
  <c r="Z45" i="2"/>
  <c r="Y33" i="2"/>
  <c r="Y49" i="2"/>
  <c r="AA42" i="2"/>
  <c r="AA47" i="2"/>
  <c r="P38" i="2"/>
  <c r="P51" i="2"/>
  <c r="AC20" i="2"/>
  <c r="AB23" i="2"/>
  <c r="AB22" i="2"/>
  <c r="AA25" i="2"/>
  <c r="AA26" i="2" s="1"/>
  <c r="AA43" i="2"/>
  <c r="AF27" i="2"/>
  <c r="AE46" i="2"/>
  <c r="X30" i="2"/>
  <c r="X45" i="2"/>
  <c r="R49" i="2"/>
  <c r="R33" i="2"/>
  <c r="M33" i="2"/>
  <c r="M49" i="2"/>
  <c r="W33" i="2"/>
  <c r="W49" i="2"/>
  <c r="H33" i="2"/>
  <c r="H49" i="2"/>
  <c r="J30" i="2"/>
  <c r="J45" i="2"/>
  <c r="N30" i="2"/>
  <c r="N45" i="2"/>
  <c r="K33" i="2"/>
  <c r="K49" i="2"/>
  <c r="G33" i="2"/>
  <c r="G49" i="2"/>
  <c r="L33" i="2"/>
  <c r="L49" i="2"/>
  <c r="V33" i="2"/>
  <c r="V49" i="2"/>
  <c r="I33" i="2"/>
  <c r="I49" i="2"/>
  <c r="U33" i="2"/>
  <c r="U49" i="2"/>
  <c r="O33" i="2"/>
  <c r="O49" i="2"/>
  <c r="AE28" i="2" l="1"/>
  <c r="AD48" i="2"/>
  <c r="AE21" i="2"/>
  <c r="AD24" i="2"/>
  <c r="AD44" i="2" s="1"/>
  <c r="AA45" i="2"/>
  <c r="AA30" i="2"/>
  <c r="Y50" i="2"/>
  <c r="Y36" i="2"/>
  <c r="AB42" i="2"/>
  <c r="AB47" i="2"/>
  <c r="AB25" i="2"/>
  <c r="AB26" i="2" s="1"/>
  <c r="AB43" i="2"/>
  <c r="AD20" i="2"/>
  <c r="AC23" i="2"/>
  <c r="AC22" i="2"/>
  <c r="Z33" i="2"/>
  <c r="Z49" i="2"/>
  <c r="AG27" i="2"/>
  <c r="AF46" i="2"/>
  <c r="R50" i="2"/>
  <c r="R36" i="2"/>
  <c r="X49" i="2"/>
  <c r="X33" i="2"/>
  <c r="J33" i="2"/>
  <c r="J49" i="2"/>
  <c r="H36" i="2"/>
  <c r="H50" i="2"/>
  <c r="G36" i="2"/>
  <c r="G50" i="2"/>
  <c r="W36" i="2"/>
  <c r="W50" i="2"/>
  <c r="I36" i="2"/>
  <c r="I50" i="2"/>
  <c r="K36" i="2"/>
  <c r="K50" i="2"/>
  <c r="L36" i="2"/>
  <c r="L50" i="2"/>
  <c r="V36" i="2"/>
  <c r="V50" i="2"/>
  <c r="N33" i="2"/>
  <c r="N49" i="2"/>
  <c r="M36" i="2"/>
  <c r="M50" i="2"/>
  <c r="U36" i="2"/>
  <c r="U50" i="2"/>
  <c r="O36" i="2"/>
  <c r="O50" i="2"/>
  <c r="AF28" i="2" l="1"/>
  <c r="AE48" i="2"/>
  <c r="AF21" i="2"/>
  <c r="AE24" i="2"/>
  <c r="AE44" i="2" s="1"/>
  <c r="AB30" i="2"/>
  <c r="AB45" i="2"/>
  <c r="Z50" i="2"/>
  <c r="Z36" i="2"/>
  <c r="AC47" i="2"/>
  <c r="AC42" i="2"/>
  <c r="AC25" i="2"/>
  <c r="AC26" i="2" s="1"/>
  <c r="AC43" i="2"/>
  <c r="Y51" i="2"/>
  <c r="Y38" i="2"/>
  <c r="AE20" i="2"/>
  <c r="AD23" i="2"/>
  <c r="AD25" i="2" s="1"/>
  <c r="AD22" i="2"/>
  <c r="AA49" i="2"/>
  <c r="AA33" i="2"/>
  <c r="AH27" i="2"/>
  <c r="AH46" i="2" s="1"/>
  <c r="AG46" i="2"/>
  <c r="X36" i="2"/>
  <c r="X50" i="2"/>
  <c r="R38" i="2"/>
  <c r="R51" i="2"/>
  <c r="J36" i="2"/>
  <c r="J50" i="2"/>
  <c r="V38" i="2"/>
  <c r="V51" i="2"/>
  <c r="I38" i="2"/>
  <c r="I51" i="2"/>
  <c r="L38" i="2"/>
  <c r="L51" i="2"/>
  <c r="N36" i="2"/>
  <c r="N50" i="2"/>
  <c r="W38" i="2"/>
  <c r="W51" i="2"/>
  <c r="G38" i="2"/>
  <c r="G51" i="2"/>
  <c r="M38" i="2"/>
  <c r="M51" i="2"/>
  <c r="K38" i="2"/>
  <c r="K51" i="2"/>
  <c r="H38" i="2"/>
  <c r="H51" i="2"/>
  <c r="U38" i="2"/>
  <c r="U51" i="2"/>
  <c r="O38" i="2"/>
  <c r="O51" i="2"/>
  <c r="AG28" i="2" l="1"/>
  <c r="AF48" i="2"/>
  <c r="AG21" i="2"/>
  <c r="AF24" i="2"/>
  <c r="AF44" i="2" s="1"/>
  <c r="AC45" i="2"/>
  <c r="AC30" i="2"/>
  <c r="Z51" i="2"/>
  <c r="Z38" i="2"/>
  <c r="AA36" i="2"/>
  <c r="AA50" i="2"/>
  <c r="AD47" i="2"/>
  <c r="AD42" i="2"/>
  <c r="AD26" i="2"/>
  <c r="AD43" i="2"/>
  <c r="AF20" i="2"/>
  <c r="AE22" i="2"/>
  <c r="AE23" i="2"/>
  <c r="AB33" i="2"/>
  <c r="AB49" i="2"/>
  <c r="X38" i="2"/>
  <c r="X51" i="2"/>
  <c r="N38" i="2"/>
  <c r="N51" i="2"/>
  <c r="J38" i="2"/>
  <c r="J51" i="2"/>
  <c r="AH28" i="2" l="1"/>
  <c r="AH48" i="2" s="1"/>
  <c r="AG48" i="2"/>
  <c r="AH21" i="2"/>
  <c r="AG24" i="2"/>
  <c r="AG44" i="2" s="1"/>
  <c r="AA38" i="2"/>
  <c r="AA51" i="2"/>
  <c r="AE42" i="2"/>
  <c r="AE26" i="2"/>
  <c r="AE47" i="2"/>
  <c r="AD30" i="2"/>
  <c r="AD45" i="2"/>
  <c r="AB36" i="2"/>
  <c r="AB50" i="2"/>
  <c r="AE25" i="2"/>
  <c r="AE43" i="2"/>
  <c r="AG20" i="2"/>
  <c r="AF22" i="2"/>
  <c r="AF23" i="2"/>
  <c r="AC33" i="2"/>
  <c r="AC49" i="2"/>
  <c r="AH44" i="2" l="1"/>
  <c r="AH24" i="2"/>
  <c r="AB38" i="2"/>
  <c r="AB51" i="2"/>
  <c r="AD49" i="2"/>
  <c r="AD33" i="2"/>
  <c r="AE30" i="2"/>
  <c r="AE45" i="2"/>
  <c r="AC50" i="2"/>
  <c r="AC36" i="2"/>
  <c r="AF47" i="2"/>
  <c r="AF42" i="2"/>
  <c r="AF25" i="2"/>
  <c r="AF26" i="2" s="1"/>
  <c r="AF43" i="2"/>
  <c r="AH20" i="2"/>
  <c r="AG23" i="2"/>
  <c r="AG22" i="2"/>
  <c r="AF30" i="2" l="1"/>
  <c r="AF45" i="2"/>
  <c r="AE49" i="2"/>
  <c r="AE33" i="2"/>
  <c r="AC51" i="2"/>
  <c r="AC38" i="2"/>
  <c r="AH23" i="2"/>
  <c r="AH25" i="2" s="1"/>
  <c r="AH22" i="2"/>
  <c r="AG42" i="2"/>
  <c r="AG47" i="2"/>
  <c r="AD36" i="2"/>
  <c r="AD50" i="2"/>
  <c r="AG25" i="2"/>
  <c r="AG26" i="2" s="1"/>
  <c r="AG43" i="2"/>
  <c r="AG45" i="2" l="1"/>
  <c r="AG30" i="2"/>
  <c r="AH26" i="2"/>
  <c r="AH47" i="2"/>
  <c r="AH42" i="2"/>
  <c r="AD38" i="2"/>
  <c r="AD51" i="2"/>
  <c r="AH43" i="2"/>
  <c r="AE50" i="2"/>
  <c r="AE36" i="2"/>
  <c r="AF33" i="2"/>
  <c r="AF49" i="2"/>
  <c r="AF50" i="2" l="1"/>
  <c r="AF36" i="2"/>
  <c r="AH30" i="2"/>
  <c r="AH45" i="2"/>
  <c r="AE51" i="2"/>
  <c r="AE38" i="2"/>
  <c r="AG49" i="2"/>
  <c r="AG33" i="2"/>
  <c r="AG50" i="2" l="1"/>
  <c r="AG36" i="2"/>
  <c r="AH49" i="2"/>
  <c r="AH33" i="2"/>
  <c r="AF38" i="2"/>
  <c r="AF51" i="2"/>
  <c r="AG51" i="2" l="1"/>
  <c r="AG38" i="2"/>
  <c r="AH36" i="2"/>
  <c r="AH50" i="2"/>
  <c r="AH51" i="2" l="1"/>
  <c r="AH38" i="2"/>
  <c r="AI36" i="2"/>
  <c r="AJ36" i="2" s="1"/>
  <c r="AK36" i="2" s="1"/>
  <c r="AL36" i="2" s="1"/>
  <c r="AM36" i="2" s="1"/>
  <c r="AN36" i="2" s="1"/>
  <c r="AO36" i="2" s="1"/>
  <c r="AP36" i="2" s="1"/>
  <c r="AQ36" i="2" s="1"/>
  <c r="AR36" i="2" s="1"/>
  <c r="AS36" i="2" s="1"/>
  <c r="AT36" i="2" s="1"/>
  <c r="AU36" i="2" s="1"/>
  <c r="AV36" i="2" s="1"/>
  <c r="AW36" i="2" s="1"/>
  <c r="AX36" i="2" s="1"/>
  <c r="AY36" i="2" s="1"/>
  <c r="AZ36" i="2" s="1"/>
  <c r="BA36" i="2" s="1"/>
  <c r="BB36" i="2" s="1"/>
  <c r="BC36" i="2" s="1"/>
  <c r="BD36" i="2" s="1"/>
  <c r="BE36" i="2" s="1"/>
  <c r="BF36" i="2" s="1"/>
  <c r="BG36" i="2" s="1"/>
  <c r="BH36" i="2" s="1"/>
  <c r="BI36" i="2" s="1"/>
  <c r="BJ36" i="2" s="1"/>
  <c r="BK36" i="2" s="1"/>
  <c r="BL36" i="2" s="1"/>
  <c r="BM36" i="2" s="1"/>
  <c r="BN36" i="2" s="1"/>
  <c r="BO36" i="2" s="1"/>
  <c r="BP36" i="2" s="1"/>
  <c r="BQ36" i="2" s="1"/>
  <c r="BR36" i="2" s="1"/>
  <c r="BS36" i="2" s="1"/>
  <c r="BT36" i="2" s="1"/>
  <c r="BU36" i="2" s="1"/>
  <c r="BV36" i="2" s="1"/>
  <c r="BW36" i="2" s="1"/>
  <c r="BX36" i="2" s="1"/>
  <c r="BY36" i="2" s="1"/>
  <c r="BZ36" i="2" s="1"/>
  <c r="CA36" i="2" s="1"/>
  <c r="CB36" i="2" s="1"/>
  <c r="CC36" i="2" s="1"/>
  <c r="CD36" i="2" s="1"/>
  <c r="CE36" i="2" s="1"/>
  <c r="CF36" i="2" s="1"/>
  <c r="CG36" i="2" s="1"/>
  <c r="CH36" i="2" s="1"/>
  <c r="CI36" i="2" s="1"/>
  <c r="CJ36" i="2" s="1"/>
  <c r="CK36" i="2" s="1"/>
  <c r="CL36" i="2" s="1"/>
  <c r="CM36" i="2" s="1"/>
  <c r="CN36" i="2" s="1"/>
  <c r="CO36" i="2" s="1"/>
  <c r="CP36" i="2" s="1"/>
  <c r="CQ36" i="2" s="1"/>
  <c r="CR36" i="2" s="1"/>
  <c r="CS36" i="2" s="1"/>
  <c r="CT36" i="2" s="1"/>
  <c r="CU36" i="2" s="1"/>
  <c r="CV36" i="2" s="1"/>
  <c r="CW36" i="2" s="1"/>
  <c r="CX36" i="2" s="1"/>
  <c r="CY36" i="2" s="1"/>
  <c r="CZ36" i="2" s="1"/>
  <c r="DA36" i="2" s="1"/>
  <c r="DB36" i="2" s="1"/>
  <c r="DC36" i="2" s="1"/>
  <c r="DD36" i="2" s="1"/>
  <c r="DE36" i="2" s="1"/>
  <c r="DF36" i="2" s="1"/>
  <c r="DG36" i="2" s="1"/>
  <c r="DH36" i="2" s="1"/>
  <c r="DI36" i="2" s="1"/>
  <c r="DJ36" i="2" s="1"/>
  <c r="DK36" i="2" s="1"/>
  <c r="DL36" i="2" s="1"/>
  <c r="DM36" i="2" s="1"/>
  <c r="DN36" i="2" s="1"/>
  <c r="DO36" i="2" s="1"/>
  <c r="DP36" i="2" s="1"/>
  <c r="DQ36" i="2" s="1"/>
  <c r="DR36" i="2" s="1"/>
  <c r="DS36" i="2" s="1"/>
  <c r="DT36" i="2" s="1"/>
  <c r="DU36" i="2" s="1"/>
  <c r="DV36" i="2" s="1"/>
  <c r="DW36" i="2" s="1"/>
  <c r="DX36" i="2" s="1"/>
  <c r="DY36" i="2" s="1"/>
  <c r="DZ36" i="2" s="1"/>
  <c r="EA36" i="2" s="1"/>
  <c r="EB36" i="2" s="1"/>
  <c r="EC36" i="2" s="1"/>
  <c r="ED36" i="2" s="1"/>
  <c r="EE36" i="2" s="1"/>
  <c r="EF36" i="2" s="1"/>
  <c r="EG36" i="2" s="1"/>
  <c r="EH36" i="2" s="1"/>
  <c r="AK45" i="2" s="1"/>
  <c r="AK47" i="2" s="1"/>
  <c r="AK48" i="2" s="1"/>
  <c r="AK50" i="2" s="1"/>
</calcChain>
</file>

<file path=xl/sharedStrings.xml><?xml version="1.0" encoding="utf-8"?>
<sst xmlns="http://schemas.openxmlformats.org/spreadsheetml/2006/main" count="89" uniqueCount="82">
  <si>
    <t>AVAV</t>
  </si>
  <si>
    <t>Price</t>
  </si>
  <si>
    <t>Shares</t>
  </si>
  <si>
    <t>MC</t>
  </si>
  <si>
    <t>Cash</t>
  </si>
  <si>
    <t>Debt</t>
  </si>
  <si>
    <t>Net Cash</t>
  </si>
  <si>
    <t>EV</t>
  </si>
  <si>
    <t>Last checked</t>
  </si>
  <si>
    <t>Today</t>
  </si>
  <si>
    <t>Earnings</t>
  </si>
  <si>
    <t>Q325</t>
  </si>
  <si>
    <t>Q126</t>
  </si>
  <si>
    <t>Revenue</t>
  </si>
  <si>
    <t>Q124</t>
  </si>
  <si>
    <t>Q224</t>
  </si>
  <si>
    <t>Q324</t>
  </si>
  <si>
    <t>Q424</t>
  </si>
  <si>
    <t>Q125</t>
  </si>
  <si>
    <t>Q225</t>
  </si>
  <si>
    <t>Q425</t>
  </si>
  <si>
    <t>Q226</t>
  </si>
  <si>
    <t>Q326</t>
  </si>
  <si>
    <t>Q426</t>
  </si>
  <si>
    <t>Product</t>
  </si>
  <si>
    <t>Services</t>
  </si>
  <si>
    <t>Product cost</t>
  </si>
  <si>
    <t>Service cost</t>
  </si>
  <si>
    <t>Cost of sales</t>
  </si>
  <si>
    <t>Gross profit</t>
  </si>
  <si>
    <t>SG&amp;A</t>
  </si>
  <si>
    <t>R&amp;D</t>
  </si>
  <si>
    <t>Operating profit</t>
  </si>
  <si>
    <t>Interest expense</t>
  </si>
  <si>
    <t>Other income</t>
  </si>
  <si>
    <t>Pretax profit</t>
  </si>
  <si>
    <t>Taxes</t>
  </si>
  <si>
    <t>Net profit</t>
  </si>
  <si>
    <t>MI</t>
  </si>
  <si>
    <t>EPS</t>
  </si>
  <si>
    <t>AxS</t>
  </si>
  <si>
    <t>SCDE</t>
  </si>
  <si>
    <t>Impairment</t>
  </si>
  <si>
    <t>Effective May 1, 2025 due to the acquisition of BlueHalo and our reorganization, reportable segments will be updated into the two reportable segments (i) Autonomous Systems and (ii) Space, Cyber and Directed Energy. Autonomous Systems will include the historical AeroVironment businesses (UxS, LMS and MW) as well as Unmanned Maritime, Radio Frequency and Kinetic C-UAS, Electronic Warfare Systems and Autonomous R&amp;D. Space, Cyber and Directed Energy will include the remaining acquired BlueHalo businesses including Digital beamforming technology, Laser Communications, Space-Qualified Hardware, Phased Array Antenna Technology, Directed Energy, Cyber and Mission Systems. We will begin to report our segments in the new structure in our Quarterly Report on Form 10-Q for the quarter ending July 26, 2025, the period in which the new organizational structure became effective.</t>
  </si>
  <si>
    <t>UxS</t>
  </si>
  <si>
    <t>LMS</t>
  </si>
  <si>
    <t>MW</t>
  </si>
  <si>
    <t>UxS product</t>
  </si>
  <si>
    <t>UxS services</t>
  </si>
  <si>
    <t>LMS product</t>
  </si>
  <si>
    <t>LMS services</t>
  </si>
  <si>
    <t>MW product</t>
  </si>
  <si>
    <t>MW services</t>
  </si>
  <si>
    <t>Backlog</t>
  </si>
  <si>
    <t>AxS y/y</t>
  </si>
  <si>
    <t>SCDE y/y</t>
  </si>
  <si>
    <t>Revenue y/y</t>
  </si>
  <si>
    <t>Gross Margin</t>
  </si>
  <si>
    <t>SG&amp;A y/y</t>
  </si>
  <si>
    <t>SG&amp;A Margin</t>
  </si>
  <si>
    <t>R&amp;D y/y</t>
  </si>
  <si>
    <t>Operating Margin</t>
  </si>
  <si>
    <t>Net Margin</t>
  </si>
  <si>
    <t>Q123</t>
  </si>
  <si>
    <t>Q223</t>
  </si>
  <si>
    <t>Q323</t>
  </si>
  <si>
    <t>Q423</t>
  </si>
  <si>
    <t>Product Margin</t>
  </si>
  <si>
    <t>Service Margin</t>
  </si>
  <si>
    <t>Maturity</t>
  </si>
  <si>
    <t>Discount rate</t>
  </si>
  <si>
    <t>NPV</t>
  </si>
  <si>
    <t>Net cash</t>
  </si>
  <si>
    <t>Value</t>
  </si>
  <si>
    <t>Per share</t>
  </si>
  <si>
    <t>Current price</t>
  </si>
  <si>
    <t>Variance</t>
  </si>
  <si>
    <t>Consensus</t>
  </si>
  <si>
    <t>L+S/E</t>
  </si>
  <si>
    <t>EV/B</t>
  </si>
  <si>
    <t>B/EV</t>
  </si>
  <si>
    <t>Overvalued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</si>
</sst>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x"/>
  </numFmts>
  <fonts count="7" x14ac:knownFonts="1">
    <font>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i/>
      <sz val="11"/>
      <color theme="0"/>
      <name val="Calibri"/>
      <family val="2"/>
      <scheme val="minor"/>
    </font>
    <font>
      <sz val="7"/>
      <color theme="0"/>
      <name val="Arial"/>
      <family val="2"/>
    </font>
    <font>
      <b/>
      <u/>
      <sz val="11"/>
      <color theme="0"/>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s>
  <cellStyleXfs count="1">
    <xf numFmtId="0" fontId="0" fillId="0" borderId="0"/>
  </cellStyleXfs>
  <cellXfs count="21">
    <xf numFmtId="0" fontId="0" fillId="0" borderId="0" xfId="0"/>
    <xf numFmtId="0" fontId="3" fillId="2" borderId="1" xfId="0" applyFont="1" applyFill="1" applyBorder="1"/>
    <xf numFmtId="0" fontId="4" fillId="2" borderId="1" xfId="0" applyFont="1" applyFill="1" applyBorder="1" applyAlignment="1">
      <alignment horizontal="right"/>
    </xf>
    <xf numFmtId="0" fontId="2" fillId="2" borderId="1" xfId="0" applyFont="1" applyFill="1" applyBorder="1"/>
    <xf numFmtId="164" fontId="3" fillId="2" borderId="1" xfId="0" applyNumberFormat="1" applyFont="1" applyFill="1" applyBorder="1"/>
    <xf numFmtId="14" fontId="4" fillId="2" borderId="1" xfId="0" applyNumberFormat="1" applyFont="1" applyFill="1" applyBorder="1" applyAlignment="1">
      <alignment horizontal="right"/>
    </xf>
    <xf numFmtId="3" fontId="3" fillId="2" borderId="1" xfId="0" applyNumberFormat="1" applyFont="1" applyFill="1" applyBorder="1"/>
    <xf numFmtId="0" fontId="5" fillId="2" borderId="1" xfId="0" applyFont="1" applyFill="1" applyBorder="1"/>
    <xf numFmtId="14" fontId="3" fillId="2" borderId="1" xfId="0" applyNumberFormat="1" applyFont="1" applyFill="1" applyBorder="1"/>
    <xf numFmtId="0" fontId="3" fillId="2" borderId="1" xfId="0" applyFont="1" applyFill="1" applyBorder="1" applyAlignment="1">
      <alignment horizontal="right"/>
    </xf>
    <xf numFmtId="3" fontId="4" fillId="2" borderId="1" xfId="0" applyNumberFormat="1" applyFont="1" applyFill="1" applyBorder="1"/>
    <xf numFmtId="0" fontId="2" fillId="2" borderId="1" xfId="0" applyFont="1" applyFill="1" applyBorder="1" applyAlignment="1">
      <alignment horizontal="right"/>
    </xf>
    <xf numFmtId="3" fontId="2" fillId="2" borderId="1" xfId="0" applyNumberFormat="1" applyFont="1" applyFill="1" applyBorder="1"/>
    <xf numFmtId="3" fontId="3" fillId="2" borderId="1" xfId="0" applyNumberFormat="1" applyFont="1" applyFill="1" applyBorder="1" applyAlignment="1">
      <alignment horizontal="right"/>
    </xf>
    <xf numFmtId="3" fontId="2" fillId="2" borderId="1" xfId="0" applyNumberFormat="1" applyFont="1" applyFill="1" applyBorder="1" applyAlignment="1">
      <alignment horizontal="right"/>
    </xf>
    <xf numFmtId="4" fontId="3" fillId="2" borderId="1" xfId="0" applyNumberFormat="1" applyFont="1" applyFill="1" applyBorder="1"/>
    <xf numFmtId="9" fontId="3" fillId="2" borderId="1" xfId="0" applyNumberFormat="1" applyFont="1" applyFill="1" applyBorder="1"/>
    <xf numFmtId="9" fontId="2" fillId="2" borderId="1" xfId="0" applyNumberFormat="1" applyFont="1" applyFill="1" applyBorder="1"/>
    <xf numFmtId="165" fontId="3" fillId="2" borderId="1" xfId="0" applyNumberFormat="1" applyFont="1" applyFill="1" applyBorder="1"/>
    <xf numFmtId="0" fontId="6" fillId="2" borderId="1" xfId="0" applyFont="1" applyFill="1" applyBorder="1"/>
    <xf numFmtId="3" fontId="6" fillId="2"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30480</xdr:colOff>
      <xdr:row>0</xdr:row>
      <xdr:rowOff>7620</xdr:rowOff>
    </xdr:from>
    <xdr:to>
      <xdr:col>16</xdr:col>
      <xdr:colOff>30480</xdr:colOff>
      <xdr:row>62</xdr:row>
      <xdr:rowOff>106680</xdr:rowOff>
    </xdr:to>
    <xdr:cxnSp macro="">
      <xdr:nvCxnSpPr>
        <xdr:cNvPr id="3" name="Straight Connector 2">
          <a:extLst>
            <a:ext uri="{FF2B5EF4-FFF2-40B4-BE49-F238E27FC236}">
              <a16:creationId xmlns:a16="http://schemas.microsoft.com/office/drawing/2014/main" id="{B927EFD0-C5BE-9B28-07E7-4246CA428CB8}"/>
            </a:ext>
          </a:extLst>
        </xdr:cNvPr>
        <xdr:cNvCxnSpPr/>
      </xdr:nvCxnSpPr>
      <xdr:spPr>
        <a:xfrm>
          <a:off x="11818620" y="7620"/>
          <a:ext cx="0" cy="1143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7620</xdr:colOff>
      <xdr:row>0</xdr:row>
      <xdr:rowOff>7620</xdr:rowOff>
    </xdr:from>
    <xdr:to>
      <xdr:col>23</xdr:col>
      <xdr:colOff>7620</xdr:colOff>
      <xdr:row>65</xdr:row>
      <xdr:rowOff>106680</xdr:rowOff>
    </xdr:to>
    <xdr:cxnSp macro="">
      <xdr:nvCxnSpPr>
        <xdr:cNvPr id="6" name="Straight Connector 5">
          <a:extLst>
            <a:ext uri="{FF2B5EF4-FFF2-40B4-BE49-F238E27FC236}">
              <a16:creationId xmlns:a16="http://schemas.microsoft.com/office/drawing/2014/main" id="{660427DF-371E-B01B-070B-874AB81C7C7A}"/>
            </a:ext>
          </a:extLst>
        </xdr:cNvPr>
        <xdr:cNvCxnSpPr/>
      </xdr:nvCxnSpPr>
      <xdr:spPr>
        <a:xfrm>
          <a:off x="16748760" y="7620"/>
          <a:ext cx="0" cy="11620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B926-F50D-4870-98DD-9A246DE64D73}">
  <dimension ref="B2:K9"/>
  <sheetViews>
    <sheetView workbookViewId="0">
      <selection activeCell="D4" sqref="D4"/>
    </sheetView>
  </sheetViews>
  <sheetFormatPr defaultRowHeight="14.4" x14ac:dyDescent="0.3"/>
  <cols>
    <col min="1" max="4" width="8.88671875" style="1"/>
    <col min="5" max="5" width="11.88671875" style="2" bestFit="1" customWidth="1"/>
    <col min="6" max="7" width="11.21875" style="2" bestFit="1" customWidth="1"/>
    <col min="8" max="16384" width="8.88671875" style="1"/>
  </cols>
  <sheetData>
    <row r="2" spans="2:11" x14ac:dyDescent="0.3">
      <c r="E2" s="2" t="s">
        <v>8</v>
      </c>
      <c r="F2" s="2" t="s">
        <v>9</v>
      </c>
      <c r="G2" s="2" t="s">
        <v>10</v>
      </c>
    </row>
    <row r="3" spans="2:11" x14ac:dyDescent="0.3">
      <c r="B3" s="3" t="s">
        <v>0</v>
      </c>
      <c r="C3" s="1" t="s">
        <v>1</v>
      </c>
      <c r="D3" s="4">
        <v>312.12</v>
      </c>
      <c r="E3" s="5">
        <v>46045</v>
      </c>
      <c r="F3" s="5">
        <f ca="1">TODAY()</f>
        <v>46045</v>
      </c>
      <c r="G3" s="5">
        <v>46091</v>
      </c>
    </row>
    <row r="4" spans="2:11" x14ac:dyDescent="0.3">
      <c r="C4" s="1" t="s">
        <v>2</v>
      </c>
      <c r="D4" s="6">
        <f>49.9</f>
        <v>49.9</v>
      </c>
      <c r="E4" s="2" t="s">
        <v>21</v>
      </c>
    </row>
    <row r="5" spans="2:11" x14ac:dyDescent="0.3">
      <c r="C5" s="1" t="s">
        <v>3</v>
      </c>
      <c r="D5" s="6">
        <f>D3*D4</f>
        <v>15574.788</v>
      </c>
      <c r="K5" s="7" t="s">
        <v>43</v>
      </c>
    </row>
    <row r="6" spans="2:11" x14ac:dyDescent="0.3">
      <c r="C6" s="1" t="s">
        <v>4</v>
      </c>
      <c r="D6" s="6">
        <f>359.4+229+81</f>
        <v>669.4</v>
      </c>
      <c r="E6" s="2" t="s">
        <v>21</v>
      </c>
    </row>
    <row r="7" spans="2:11" x14ac:dyDescent="0.3">
      <c r="C7" s="1" t="s">
        <v>5</v>
      </c>
      <c r="D7" s="6">
        <f>726.8</f>
        <v>726.8</v>
      </c>
      <c r="E7" s="2" t="s">
        <v>21</v>
      </c>
    </row>
    <row r="8" spans="2:11" x14ac:dyDescent="0.3">
      <c r="C8" s="1" t="s">
        <v>6</v>
      </c>
      <c r="D8" s="6">
        <f>D6-D7</f>
        <v>-57.399999999999977</v>
      </c>
    </row>
    <row r="9" spans="2:11" x14ac:dyDescent="0.3">
      <c r="C9" s="1" t="s">
        <v>7</v>
      </c>
      <c r="D9" s="6">
        <f>D5-D8</f>
        <v>15632.188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622D-92AA-404C-A42F-140768DFEC69}">
  <dimension ref="B1:EH55"/>
  <sheetViews>
    <sheetView tabSelected="1" workbookViewId="0">
      <pane xSplit="2" ySplit="2" topLeftCell="V3" activePane="bottomRight" state="frozen"/>
      <selection pane="topRight" activeCell="C1" sqref="C1"/>
      <selection pane="bottomLeft" activeCell="A3" sqref="A3"/>
      <selection pane="bottomRight" activeCell="AK51" sqref="AK51"/>
    </sheetView>
  </sheetViews>
  <sheetFormatPr defaultRowHeight="14.4" x14ac:dyDescent="0.3"/>
  <cols>
    <col min="1" max="1" width="8.88671875" style="1"/>
    <col min="2" max="2" width="15.21875" style="1" bestFit="1" customWidth="1"/>
    <col min="3" max="18" width="10.5546875" style="1" bestFit="1" customWidth="1"/>
    <col min="19" max="19" width="8.88671875" style="1"/>
    <col min="20" max="34" width="10.5546875" style="1" bestFit="1" customWidth="1"/>
    <col min="35" max="35" width="8.88671875" style="1"/>
    <col min="36" max="36" width="12" style="1" bestFit="1" customWidth="1"/>
    <col min="37" max="37" width="16.44140625" style="1" bestFit="1" customWidth="1"/>
    <col min="38" max="16384" width="8.88671875" style="1"/>
  </cols>
  <sheetData>
    <row r="1" spans="2:34" x14ac:dyDescent="0.3">
      <c r="C1" s="8">
        <v>44773</v>
      </c>
      <c r="D1" s="8">
        <v>44865</v>
      </c>
      <c r="E1" s="8">
        <v>44957</v>
      </c>
      <c r="F1" s="8">
        <v>45046</v>
      </c>
      <c r="G1" s="8">
        <v>45138</v>
      </c>
      <c r="H1" s="8">
        <v>45230</v>
      </c>
      <c r="I1" s="8">
        <v>45322</v>
      </c>
      <c r="J1" s="8">
        <v>45412</v>
      </c>
      <c r="K1" s="8">
        <v>45504</v>
      </c>
      <c r="L1" s="8">
        <v>45596</v>
      </c>
      <c r="M1" s="8">
        <v>45688</v>
      </c>
      <c r="N1" s="8">
        <v>45777</v>
      </c>
      <c r="O1" s="8">
        <v>45869</v>
      </c>
      <c r="P1" s="8">
        <v>45961</v>
      </c>
      <c r="Q1" s="8">
        <v>46053</v>
      </c>
      <c r="R1" s="8">
        <v>46142</v>
      </c>
      <c r="T1" s="8">
        <v>44681</v>
      </c>
      <c r="U1" s="8">
        <v>45046</v>
      </c>
      <c r="V1" s="8">
        <v>45412</v>
      </c>
      <c r="W1" s="8">
        <v>45777</v>
      </c>
      <c r="X1" s="8">
        <v>46142</v>
      </c>
      <c r="Y1" s="8">
        <v>46507</v>
      </c>
      <c r="Z1" s="8">
        <v>46873</v>
      </c>
      <c r="AA1" s="8">
        <v>47238</v>
      </c>
      <c r="AB1" s="8">
        <v>47603</v>
      </c>
      <c r="AC1" s="8">
        <v>47968</v>
      </c>
      <c r="AD1" s="8">
        <v>48334</v>
      </c>
      <c r="AE1" s="8">
        <v>48699</v>
      </c>
      <c r="AF1" s="8">
        <v>49064</v>
      </c>
      <c r="AG1" s="8">
        <v>49429</v>
      </c>
      <c r="AH1" s="8">
        <v>49795</v>
      </c>
    </row>
    <row r="2" spans="2:34" x14ac:dyDescent="0.3">
      <c r="C2" s="9" t="s">
        <v>63</v>
      </c>
      <c r="D2" s="9" t="s">
        <v>64</v>
      </c>
      <c r="E2" s="9" t="s">
        <v>65</v>
      </c>
      <c r="F2" s="9" t="s">
        <v>66</v>
      </c>
      <c r="G2" s="9" t="s">
        <v>14</v>
      </c>
      <c r="H2" s="9" t="s">
        <v>15</v>
      </c>
      <c r="I2" s="9" t="s">
        <v>16</v>
      </c>
      <c r="J2" s="9" t="s">
        <v>17</v>
      </c>
      <c r="K2" s="9" t="s">
        <v>18</v>
      </c>
      <c r="L2" s="9" t="s">
        <v>19</v>
      </c>
      <c r="M2" s="9" t="s">
        <v>11</v>
      </c>
      <c r="N2" s="9" t="s">
        <v>20</v>
      </c>
      <c r="O2" s="9" t="s">
        <v>12</v>
      </c>
      <c r="P2" s="9" t="s">
        <v>21</v>
      </c>
      <c r="Q2" s="9" t="s">
        <v>22</v>
      </c>
      <c r="R2" s="9" t="s">
        <v>23</v>
      </c>
      <c r="T2" s="1">
        <v>2022</v>
      </c>
      <c r="U2" s="1">
        <v>2023</v>
      </c>
      <c r="V2" s="1">
        <v>2024</v>
      </c>
      <c r="W2" s="1">
        <v>2025</v>
      </c>
      <c r="X2" s="1">
        <v>2026</v>
      </c>
      <c r="Y2" s="1">
        <v>2027</v>
      </c>
      <c r="Z2" s="1">
        <v>2028</v>
      </c>
      <c r="AA2" s="1">
        <v>2029</v>
      </c>
      <c r="AB2" s="1">
        <v>2030</v>
      </c>
      <c r="AC2" s="1">
        <v>2031</v>
      </c>
      <c r="AD2" s="1">
        <v>2032</v>
      </c>
      <c r="AE2" s="1">
        <v>2033</v>
      </c>
      <c r="AF2" s="1">
        <v>2034</v>
      </c>
      <c r="AG2" s="1">
        <v>2035</v>
      </c>
      <c r="AH2" s="1">
        <v>2036</v>
      </c>
    </row>
    <row r="3" spans="2:34" x14ac:dyDescent="0.3">
      <c r="B3" s="1" t="s">
        <v>53</v>
      </c>
      <c r="G3" s="9"/>
      <c r="H3" s="9"/>
      <c r="I3" s="9"/>
      <c r="J3" s="6">
        <v>400.2</v>
      </c>
      <c r="K3" s="9"/>
      <c r="L3" s="9"/>
      <c r="M3" s="9"/>
      <c r="N3" s="6">
        <v>726.6</v>
      </c>
      <c r="O3" s="6">
        <v>1066.4000000000001</v>
      </c>
      <c r="P3" s="6">
        <v>1092.5</v>
      </c>
      <c r="Q3" s="9"/>
      <c r="R3" s="9"/>
      <c r="V3" s="6">
        <v>400.2</v>
      </c>
      <c r="W3" s="6">
        <v>726.6</v>
      </c>
      <c r="X3" s="6">
        <v>1092.5</v>
      </c>
    </row>
    <row r="4" spans="2:34" x14ac:dyDescent="0.3">
      <c r="G4" s="9"/>
      <c r="H4" s="9"/>
      <c r="I4" s="9"/>
      <c r="J4" s="9"/>
      <c r="K4" s="9"/>
      <c r="L4" s="9"/>
      <c r="M4" s="9"/>
      <c r="N4" s="9"/>
      <c r="O4" s="9"/>
      <c r="P4" s="9"/>
      <c r="Q4" s="9"/>
      <c r="R4" s="9"/>
    </row>
    <row r="5" spans="2:34" x14ac:dyDescent="0.3">
      <c r="B5" s="1" t="s">
        <v>47</v>
      </c>
      <c r="G5" s="9"/>
      <c r="H5" s="9"/>
      <c r="I5" s="9"/>
      <c r="J5" s="9"/>
      <c r="K5" s="9"/>
      <c r="L5" s="9"/>
      <c r="M5" s="9"/>
      <c r="N5" s="9"/>
      <c r="O5" s="9"/>
      <c r="P5" s="9"/>
      <c r="Q5" s="9"/>
      <c r="R5" s="9"/>
      <c r="U5" s="10">
        <v>268</v>
      </c>
      <c r="V5" s="10">
        <v>415.1</v>
      </c>
      <c r="W5" s="10">
        <v>352.9</v>
      </c>
    </row>
    <row r="6" spans="2:34" x14ac:dyDescent="0.3">
      <c r="B6" s="1" t="s">
        <v>48</v>
      </c>
      <c r="G6" s="9"/>
      <c r="H6" s="9"/>
      <c r="I6" s="9"/>
      <c r="J6" s="9"/>
      <c r="K6" s="9"/>
      <c r="L6" s="9"/>
      <c r="M6" s="9"/>
      <c r="N6" s="9"/>
      <c r="O6" s="9"/>
      <c r="P6" s="9"/>
      <c r="Q6" s="9"/>
      <c r="R6" s="9"/>
      <c r="U6" s="10">
        <v>75.900000000000006</v>
      </c>
      <c r="V6" s="10">
        <v>32.9</v>
      </c>
      <c r="W6" s="10">
        <v>28.8</v>
      </c>
    </row>
    <row r="7" spans="2:34" x14ac:dyDescent="0.3">
      <c r="B7" s="1" t="s">
        <v>44</v>
      </c>
      <c r="G7" s="9"/>
      <c r="H7" s="9"/>
      <c r="I7" s="9"/>
      <c r="J7" s="9"/>
      <c r="K7" s="9"/>
      <c r="L7" s="9"/>
      <c r="M7" s="9"/>
      <c r="N7" s="9"/>
      <c r="O7" s="9"/>
      <c r="P7" s="9"/>
      <c r="Q7" s="9"/>
      <c r="R7" s="9"/>
      <c r="U7" s="6">
        <f>SUM(U5:U6)</f>
        <v>343.9</v>
      </c>
      <c r="V7" s="6">
        <f>SUM(V5:V6)</f>
        <v>448</v>
      </c>
      <c r="W7" s="6">
        <f>SUM(W5:W6)</f>
        <v>381.7</v>
      </c>
    </row>
    <row r="8" spans="2:34" x14ac:dyDescent="0.3">
      <c r="B8" s="1" t="s">
        <v>49</v>
      </c>
      <c r="G8" s="9"/>
      <c r="H8" s="9"/>
      <c r="I8" s="9"/>
      <c r="J8" s="9"/>
      <c r="K8" s="9"/>
      <c r="L8" s="9"/>
      <c r="M8" s="9"/>
      <c r="N8" s="9"/>
      <c r="O8" s="9"/>
      <c r="P8" s="9"/>
      <c r="Q8" s="9"/>
      <c r="R8" s="9"/>
      <c r="U8" s="10">
        <v>84.7</v>
      </c>
      <c r="V8" s="10">
        <v>168.9</v>
      </c>
      <c r="W8" s="10">
        <v>333.5</v>
      </c>
    </row>
    <row r="9" spans="2:34" x14ac:dyDescent="0.3">
      <c r="B9" s="1" t="s">
        <v>50</v>
      </c>
      <c r="G9" s="9"/>
      <c r="H9" s="9"/>
      <c r="I9" s="9"/>
      <c r="J9" s="9"/>
      <c r="K9" s="9"/>
      <c r="L9" s="9"/>
      <c r="M9" s="9"/>
      <c r="N9" s="9"/>
      <c r="O9" s="9"/>
      <c r="P9" s="9"/>
      <c r="Q9" s="9"/>
      <c r="R9" s="9"/>
      <c r="U9" s="10">
        <v>35.9</v>
      </c>
      <c r="V9" s="10">
        <v>23.7</v>
      </c>
      <c r="W9" s="10">
        <v>18.5</v>
      </c>
    </row>
    <row r="10" spans="2:34" x14ac:dyDescent="0.3">
      <c r="B10" s="1" t="s">
        <v>45</v>
      </c>
      <c r="G10" s="9"/>
      <c r="H10" s="9"/>
      <c r="I10" s="9"/>
      <c r="J10" s="9"/>
      <c r="K10" s="9"/>
      <c r="L10" s="9"/>
      <c r="M10" s="9"/>
      <c r="N10" s="9"/>
      <c r="O10" s="9"/>
      <c r="P10" s="9"/>
      <c r="Q10" s="9"/>
      <c r="R10" s="9"/>
      <c r="U10" s="6">
        <f>SUM(U8:U9)</f>
        <v>120.6</v>
      </c>
      <c r="V10" s="6">
        <f>SUM(V8:V9)</f>
        <v>192.6</v>
      </c>
      <c r="W10" s="6">
        <f>SUM(W8:W9)</f>
        <v>352</v>
      </c>
    </row>
    <row r="11" spans="2:34" x14ac:dyDescent="0.3">
      <c r="B11" s="1" t="s">
        <v>51</v>
      </c>
      <c r="G11" s="9"/>
      <c r="H11" s="9"/>
      <c r="I11" s="9"/>
      <c r="J11" s="9"/>
      <c r="K11" s="9"/>
      <c r="L11" s="9"/>
      <c r="M11" s="9"/>
      <c r="N11" s="9"/>
      <c r="O11" s="9"/>
      <c r="P11" s="9"/>
      <c r="Q11" s="9"/>
      <c r="R11" s="9"/>
      <c r="U11" s="10">
        <v>0.4</v>
      </c>
      <c r="V11" s="10">
        <v>1.8</v>
      </c>
      <c r="W11" s="10">
        <v>6.3</v>
      </c>
    </row>
    <row r="12" spans="2:34" x14ac:dyDescent="0.3">
      <c r="B12" s="1" t="s">
        <v>52</v>
      </c>
      <c r="G12" s="9"/>
      <c r="H12" s="9"/>
      <c r="I12" s="9"/>
      <c r="J12" s="9"/>
      <c r="K12" s="9"/>
      <c r="L12" s="9"/>
      <c r="M12" s="9"/>
      <c r="N12" s="9"/>
      <c r="O12" s="9"/>
      <c r="P12" s="9"/>
      <c r="Q12" s="9"/>
      <c r="R12" s="9"/>
      <c r="U12" s="10">
        <v>75.599999999999994</v>
      </c>
      <c r="V12" s="10">
        <v>74.3</v>
      </c>
      <c r="W12" s="10">
        <v>80.599999999999994</v>
      </c>
    </row>
    <row r="13" spans="2:34" x14ac:dyDescent="0.3">
      <c r="B13" s="1" t="s">
        <v>46</v>
      </c>
      <c r="G13" s="9"/>
      <c r="H13" s="9"/>
      <c r="I13" s="9"/>
      <c r="J13" s="9"/>
      <c r="K13" s="9"/>
      <c r="L13" s="9"/>
      <c r="M13" s="9"/>
      <c r="N13" s="9"/>
      <c r="O13" s="9"/>
      <c r="P13" s="9"/>
      <c r="Q13" s="9"/>
      <c r="R13" s="9"/>
      <c r="U13" s="6">
        <f>SUM(U11:U12)</f>
        <v>76</v>
      </c>
      <c r="V13" s="6">
        <f>SUM(V11:V12)</f>
        <v>76.099999999999994</v>
      </c>
      <c r="W13" s="6">
        <f>SUM(W11:W12)</f>
        <v>86.899999999999991</v>
      </c>
    </row>
    <row r="14" spans="2:34" s="3" customFormat="1" x14ac:dyDescent="0.3">
      <c r="B14" s="3" t="s">
        <v>13</v>
      </c>
      <c r="G14" s="11"/>
      <c r="H14" s="11"/>
      <c r="I14" s="11"/>
      <c r="J14" s="11"/>
      <c r="K14" s="11"/>
      <c r="L14" s="11"/>
      <c r="M14" s="11"/>
      <c r="N14" s="11"/>
      <c r="O14" s="11"/>
      <c r="P14" s="11"/>
      <c r="Q14" s="11"/>
      <c r="R14" s="11"/>
      <c r="U14" s="12">
        <f>SUM(U13,U10,U7)</f>
        <v>540.5</v>
      </c>
      <c r="V14" s="12">
        <f>SUM(V13,V10,V7)</f>
        <v>716.7</v>
      </c>
      <c r="W14" s="12">
        <f>SUM(W13,W10,W7)</f>
        <v>820.59999999999991</v>
      </c>
    </row>
    <row r="15" spans="2:34" x14ac:dyDescent="0.3">
      <c r="G15" s="9"/>
      <c r="H15" s="9"/>
      <c r="I15" s="9"/>
      <c r="J15" s="9"/>
      <c r="K15" s="9"/>
      <c r="L15" s="9"/>
      <c r="M15" s="9"/>
      <c r="N15" s="9"/>
      <c r="O15" s="9"/>
      <c r="P15" s="9"/>
      <c r="Q15" s="9"/>
      <c r="R15" s="9"/>
    </row>
    <row r="16" spans="2:34" x14ac:dyDescent="0.3">
      <c r="B16" s="1" t="s">
        <v>40</v>
      </c>
      <c r="G16" s="9"/>
      <c r="H16" s="9"/>
      <c r="I16" s="9"/>
      <c r="J16" s="9"/>
      <c r="K16" s="13">
        <v>189.5</v>
      </c>
      <c r="L16" s="13">
        <v>188.5</v>
      </c>
      <c r="M16" s="9"/>
      <c r="N16" s="9"/>
      <c r="O16" s="13">
        <v>285.3</v>
      </c>
      <c r="P16" s="13">
        <v>301.60000000000002</v>
      </c>
      <c r="Q16" s="9"/>
      <c r="R16" s="9"/>
    </row>
    <row r="17" spans="2:34" x14ac:dyDescent="0.3">
      <c r="B17" s="1" t="s">
        <v>41</v>
      </c>
      <c r="G17" s="9"/>
      <c r="H17" s="9"/>
      <c r="I17" s="9"/>
      <c r="J17" s="9"/>
      <c r="K17" s="13">
        <v>0</v>
      </c>
      <c r="L17" s="13">
        <v>0</v>
      </c>
      <c r="M17" s="9"/>
      <c r="N17" s="9"/>
      <c r="O17" s="13">
        <v>169.4</v>
      </c>
      <c r="P17" s="13">
        <v>170.9</v>
      </c>
      <c r="Q17" s="9"/>
      <c r="R17" s="9"/>
    </row>
    <row r="18" spans="2:34" s="3" customFormat="1" x14ac:dyDescent="0.3">
      <c r="B18" s="3" t="s">
        <v>13</v>
      </c>
      <c r="G18" s="11"/>
      <c r="H18" s="11"/>
      <c r="I18" s="11"/>
      <c r="J18" s="11"/>
      <c r="K18" s="14">
        <f>SUM(K16:K17)</f>
        <v>189.5</v>
      </c>
      <c r="L18" s="14">
        <f>SUM(L16:L17)</f>
        <v>188.5</v>
      </c>
      <c r="M18" s="11"/>
      <c r="N18" s="11"/>
      <c r="O18" s="14">
        <f>SUM(O16:O17)</f>
        <v>454.70000000000005</v>
      </c>
      <c r="P18" s="14">
        <f>SUM(P16:P17)</f>
        <v>472.5</v>
      </c>
      <c r="Q18" s="11"/>
      <c r="R18" s="11"/>
    </row>
    <row r="19" spans="2:34" x14ac:dyDescent="0.3">
      <c r="G19" s="9"/>
      <c r="H19" s="9"/>
      <c r="I19" s="9"/>
      <c r="J19" s="9"/>
      <c r="K19" s="9"/>
      <c r="L19" s="9"/>
      <c r="M19" s="9"/>
      <c r="N19" s="9"/>
      <c r="O19" s="9"/>
      <c r="P19" s="9"/>
      <c r="Q19" s="9"/>
      <c r="R19" s="9"/>
    </row>
    <row r="20" spans="2:34" x14ac:dyDescent="0.3">
      <c r="B20" s="1" t="s">
        <v>24</v>
      </c>
      <c r="C20" s="13"/>
      <c r="G20" s="13">
        <v>119.5</v>
      </c>
      <c r="H20" s="13">
        <v>145.80000000000001</v>
      </c>
      <c r="I20" s="13">
        <v>155.9</v>
      </c>
      <c r="J20" s="13">
        <f>V20-I20-H20-G20</f>
        <v>164.59999999999997</v>
      </c>
      <c r="K20" s="13">
        <v>159.5</v>
      </c>
      <c r="L20" s="13">
        <v>151.19999999999999</v>
      </c>
      <c r="M20" s="13">
        <v>139.80000000000001</v>
      </c>
      <c r="N20" s="13">
        <f>W20-M20-L20-K20</f>
        <v>242.2000000000001</v>
      </c>
      <c r="O20" s="13">
        <v>313.5</v>
      </c>
      <c r="P20" s="13">
        <v>325</v>
      </c>
      <c r="Q20" s="13">
        <f>M20*2.2</f>
        <v>307.56000000000006</v>
      </c>
      <c r="R20" s="13">
        <f>N20*1.6</f>
        <v>387.52000000000021</v>
      </c>
      <c r="U20" s="13">
        <v>353.1</v>
      </c>
      <c r="V20" s="13">
        <v>585.79999999999995</v>
      </c>
      <c r="W20" s="13">
        <v>692.7</v>
      </c>
      <c r="X20" s="6">
        <f>SUM(O20:R20)</f>
        <v>1333.5800000000004</v>
      </c>
      <c r="Y20" s="6">
        <f>X20*1.7</f>
        <v>2267.0860000000007</v>
      </c>
      <c r="Z20" s="6">
        <f>Y20*1.5</f>
        <v>3400.6290000000008</v>
      </c>
      <c r="AA20" s="6">
        <f>Z20*1.4</f>
        <v>4760.8806000000004</v>
      </c>
      <c r="AB20" s="6">
        <f>AA20*1.3</f>
        <v>6189.1447800000005</v>
      </c>
      <c r="AC20" s="6">
        <f>AB20*1.2</f>
        <v>7426.9737359999999</v>
      </c>
      <c r="AD20" s="6">
        <f>AC20*1.15</f>
        <v>8541.0197963999999</v>
      </c>
      <c r="AE20" s="6">
        <f>AD20*1.1</f>
        <v>9395.1217760400014</v>
      </c>
      <c r="AF20" s="6">
        <f>AE20*1.05</f>
        <v>9864.8778648420011</v>
      </c>
      <c r="AG20" s="6">
        <f t="shared" ref="AG20:AH20" si="0">AF20*1.05</f>
        <v>10358.121758084102</v>
      </c>
      <c r="AH20" s="6">
        <f t="shared" si="0"/>
        <v>10876.027845988308</v>
      </c>
    </row>
    <row r="21" spans="2:34" x14ac:dyDescent="0.3">
      <c r="B21" s="1" t="s">
        <v>25</v>
      </c>
      <c r="C21" s="13"/>
      <c r="G21" s="13">
        <v>32.9</v>
      </c>
      <c r="H21" s="13">
        <v>35</v>
      </c>
      <c r="I21" s="13">
        <v>30.7</v>
      </c>
      <c r="J21" s="13">
        <f>V21-I21-H21-G21</f>
        <v>32.300000000000004</v>
      </c>
      <c r="K21" s="13">
        <v>30</v>
      </c>
      <c r="L21" s="13">
        <v>37.200000000000003</v>
      </c>
      <c r="M21" s="13">
        <v>27.9</v>
      </c>
      <c r="N21" s="13">
        <f>W21-M21-L21-K21</f>
        <v>32.799999999999997</v>
      </c>
      <c r="O21" s="13">
        <v>141.1</v>
      </c>
      <c r="P21" s="13">
        <v>147.5</v>
      </c>
      <c r="Q21" s="13">
        <v>160</v>
      </c>
      <c r="R21" s="13">
        <v>190</v>
      </c>
      <c r="U21" s="13">
        <v>187.5</v>
      </c>
      <c r="V21" s="13">
        <v>130.9</v>
      </c>
      <c r="W21" s="13">
        <v>127.9</v>
      </c>
      <c r="X21" s="6">
        <f>SUM(O21:R21)</f>
        <v>638.6</v>
      </c>
      <c r="Y21" s="6">
        <f>X21*1.05</f>
        <v>670.53000000000009</v>
      </c>
      <c r="Z21" s="6">
        <f t="shared" ref="Z21:AH21" si="1">Y21*1.05</f>
        <v>704.05650000000014</v>
      </c>
      <c r="AA21" s="6">
        <f t="shared" si="1"/>
        <v>739.25932500000022</v>
      </c>
      <c r="AB21" s="6">
        <f t="shared" si="1"/>
        <v>776.22229125000024</v>
      </c>
      <c r="AC21" s="6">
        <f t="shared" si="1"/>
        <v>815.03340581250029</v>
      </c>
      <c r="AD21" s="6">
        <f t="shared" si="1"/>
        <v>855.78507610312533</v>
      </c>
      <c r="AE21" s="6">
        <f t="shared" si="1"/>
        <v>898.57432990828158</v>
      </c>
      <c r="AF21" s="6">
        <f t="shared" si="1"/>
        <v>943.50304640369575</v>
      </c>
      <c r="AG21" s="6">
        <f t="shared" si="1"/>
        <v>990.67819872388054</v>
      </c>
      <c r="AH21" s="6">
        <f t="shared" si="1"/>
        <v>1040.2121086600746</v>
      </c>
    </row>
    <row r="22" spans="2:34" s="3" customFormat="1" x14ac:dyDescent="0.3">
      <c r="B22" s="3" t="s">
        <v>13</v>
      </c>
      <c r="C22" s="12"/>
      <c r="G22" s="12">
        <f t="shared" ref="G22:R22" si="2">SUM(G20:G21)</f>
        <v>152.4</v>
      </c>
      <c r="H22" s="12">
        <f t="shared" si="2"/>
        <v>180.8</v>
      </c>
      <c r="I22" s="12">
        <f t="shared" si="2"/>
        <v>186.6</v>
      </c>
      <c r="J22" s="12">
        <f t="shared" si="2"/>
        <v>196.89999999999998</v>
      </c>
      <c r="K22" s="12">
        <f t="shared" si="2"/>
        <v>189.5</v>
      </c>
      <c r="L22" s="12">
        <f t="shared" si="2"/>
        <v>188.39999999999998</v>
      </c>
      <c r="M22" s="12">
        <f t="shared" si="2"/>
        <v>167.70000000000002</v>
      </c>
      <c r="N22" s="12">
        <f t="shared" si="2"/>
        <v>275.00000000000011</v>
      </c>
      <c r="O22" s="12">
        <f t="shared" si="2"/>
        <v>454.6</v>
      </c>
      <c r="P22" s="12">
        <f t="shared" si="2"/>
        <v>472.5</v>
      </c>
      <c r="Q22" s="12">
        <f t="shared" si="2"/>
        <v>467.56000000000006</v>
      </c>
      <c r="R22" s="12">
        <f t="shared" si="2"/>
        <v>577.52000000000021</v>
      </c>
      <c r="U22" s="12">
        <f>SUM(U20:U21)</f>
        <v>540.6</v>
      </c>
      <c r="V22" s="12">
        <f>SUM(V20:V21)</f>
        <v>716.69999999999993</v>
      </c>
      <c r="W22" s="12">
        <f>SUM(W20:W21)</f>
        <v>820.6</v>
      </c>
      <c r="X22" s="12">
        <f>SUM(O22:R22)</f>
        <v>1972.1800000000003</v>
      </c>
      <c r="Y22" s="12">
        <f>SUM(Y20:Y21)</f>
        <v>2937.6160000000009</v>
      </c>
      <c r="Z22" s="12">
        <f t="shared" ref="Z22:AH22" si="3">SUM(Z20:Z21)</f>
        <v>4104.6855000000014</v>
      </c>
      <c r="AA22" s="12">
        <f t="shared" si="3"/>
        <v>5500.1399250000004</v>
      </c>
      <c r="AB22" s="12">
        <f t="shared" si="3"/>
        <v>6965.3670712500007</v>
      </c>
      <c r="AC22" s="12">
        <f t="shared" si="3"/>
        <v>8242.0071418125008</v>
      </c>
      <c r="AD22" s="12">
        <f t="shared" si="3"/>
        <v>9396.8048725031258</v>
      </c>
      <c r="AE22" s="12">
        <f t="shared" si="3"/>
        <v>10293.696105948284</v>
      </c>
      <c r="AF22" s="12">
        <f t="shared" si="3"/>
        <v>10808.380911245697</v>
      </c>
      <c r="AG22" s="12">
        <f t="shared" si="3"/>
        <v>11348.799956807983</v>
      </c>
      <c r="AH22" s="12">
        <f t="shared" si="3"/>
        <v>11916.239954648383</v>
      </c>
    </row>
    <row r="23" spans="2:34" x14ac:dyDescent="0.3">
      <c r="B23" s="1" t="s">
        <v>26</v>
      </c>
      <c r="C23" s="13"/>
      <c r="G23" s="13">
        <v>61.6</v>
      </c>
      <c r="H23" s="13">
        <v>79</v>
      </c>
      <c r="I23" s="13">
        <v>99.5</v>
      </c>
      <c r="J23" s="13">
        <f t="shared" ref="J23:J24" si="4">V23-I23-H23-G23</f>
        <v>100.1</v>
      </c>
      <c r="K23" s="13">
        <v>85.5</v>
      </c>
      <c r="L23" s="13">
        <v>87.1</v>
      </c>
      <c r="M23" s="13">
        <v>81</v>
      </c>
      <c r="N23" s="13">
        <f t="shared" ref="N23:N24" si="5">W23-M23-L23-K23</f>
        <v>150.70000000000002</v>
      </c>
      <c r="O23" s="13">
        <v>230.7</v>
      </c>
      <c r="P23" s="6">
        <v>241.4</v>
      </c>
      <c r="Q23" s="6">
        <f t="shared" ref="Q23:R23" si="6">Q20*0.74</f>
        <v>227.59440000000004</v>
      </c>
      <c r="R23" s="6">
        <f t="shared" si="6"/>
        <v>286.76480000000015</v>
      </c>
      <c r="U23" s="13">
        <v>203.4</v>
      </c>
      <c r="V23" s="13">
        <v>340.2</v>
      </c>
      <c r="W23" s="13">
        <v>404.3</v>
      </c>
      <c r="X23" s="6">
        <f t="shared" ref="X23:X24" si="7">SUM(O23:R23)</f>
        <v>986.45920000000024</v>
      </c>
      <c r="Y23" s="6">
        <f t="shared" ref="Y23:AH23" si="8">Y20*0.74</f>
        <v>1677.6436400000005</v>
      </c>
      <c r="Z23" s="6">
        <f t="shared" si="8"/>
        <v>2516.4654600000003</v>
      </c>
      <c r="AA23" s="6">
        <f t="shared" si="8"/>
        <v>3523.0516440000001</v>
      </c>
      <c r="AB23" s="6">
        <f t="shared" si="8"/>
        <v>4579.9671372000003</v>
      </c>
      <c r="AC23" s="6">
        <f t="shared" si="8"/>
        <v>5495.9605646399996</v>
      </c>
      <c r="AD23" s="6">
        <f t="shared" si="8"/>
        <v>6320.354649336</v>
      </c>
      <c r="AE23" s="6">
        <f t="shared" si="8"/>
        <v>6952.3901142696013</v>
      </c>
      <c r="AF23" s="6">
        <f t="shared" si="8"/>
        <v>7300.0096199830805</v>
      </c>
      <c r="AG23" s="6">
        <f t="shared" si="8"/>
        <v>7665.0101009822356</v>
      </c>
      <c r="AH23" s="6">
        <f t="shared" si="8"/>
        <v>8048.2606060313483</v>
      </c>
    </row>
    <row r="24" spans="2:34" x14ac:dyDescent="0.3">
      <c r="B24" s="1" t="s">
        <v>27</v>
      </c>
      <c r="C24" s="13"/>
      <c r="G24" s="13">
        <v>25.1</v>
      </c>
      <c r="H24" s="13">
        <v>26.4</v>
      </c>
      <c r="I24" s="13">
        <v>19.8</v>
      </c>
      <c r="J24" s="13">
        <f t="shared" si="4"/>
        <v>21.299999999999997</v>
      </c>
      <c r="K24" s="13">
        <v>22.5</v>
      </c>
      <c r="L24" s="13">
        <v>27.8</v>
      </c>
      <c r="M24" s="13">
        <v>23.4</v>
      </c>
      <c r="N24" s="13">
        <f t="shared" si="5"/>
        <v>23.899999999999991</v>
      </c>
      <c r="O24" s="13">
        <v>128.9</v>
      </c>
      <c r="P24" s="6">
        <v>127</v>
      </c>
      <c r="Q24" s="6">
        <f t="shared" ref="Q24:R24" si="9">Q21*0.9</f>
        <v>144</v>
      </c>
      <c r="R24" s="6">
        <f t="shared" si="9"/>
        <v>171</v>
      </c>
      <c r="U24" s="13">
        <v>163.6</v>
      </c>
      <c r="V24" s="13">
        <v>92.6</v>
      </c>
      <c r="W24" s="13">
        <v>97.6</v>
      </c>
      <c r="X24" s="6">
        <f t="shared" si="7"/>
        <v>570.9</v>
      </c>
      <c r="Y24" s="6">
        <f t="shared" ref="Y24:AH24" si="10">Y21*0.9</f>
        <v>603.47700000000009</v>
      </c>
      <c r="Z24" s="6">
        <f t="shared" si="10"/>
        <v>633.6508500000001</v>
      </c>
      <c r="AA24" s="6">
        <f t="shared" si="10"/>
        <v>665.33339250000017</v>
      </c>
      <c r="AB24" s="6">
        <f t="shared" si="10"/>
        <v>698.60006212500025</v>
      </c>
      <c r="AC24" s="6">
        <f t="shared" si="10"/>
        <v>733.53006523125032</v>
      </c>
      <c r="AD24" s="6">
        <f t="shared" si="10"/>
        <v>770.20656849281283</v>
      </c>
      <c r="AE24" s="6">
        <f t="shared" si="10"/>
        <v>808.71689691745348</v>
      </c>
      <c r="AF24" s="6">
        <f t="shared" si="10"/>
        <v>849.15274176332616</v>
      </c>
      <c r="AG24" s="6">
        <f t="shared" si="10"/>
        <v>891.61037885149256</v>
      </c>
      <c r="AH24" s="6">
        <f t="shared" si="10"/>
        <v>936.19089779406715</v>
      </c>
    </row>
    <row r="25" spans="2:34" x14ac:dyDescent="0.3">
      <c r="B25" s="1" t="s">
        <v>28</v>
      </c>
      <c r="C25" s="6"/>
      <c r="G25" s="6">
        <f t="shared" ref="G25:O25" si="11">SUM(G23:G24)</f>
        <v>86.7</v>
      </c>
      <c r="H25" s="6">
        <f t="shared" si="11"/>
        <v>105.4</v>
      </c>
      <c r="I25" s="6">
        <f t="shared" si="11"/>
        <v>119.3</v>
      </c>
      <c r="J25" s="6">
        <f t="shared" si="11"/>
        <v>121.39999999999999</v>
      </c>
      <c r="K25" s="6">
        <f t="shared" si="11"/>
        <v>108</v>
      </c>
      <c r="L25" s="6">
        <f t="shared" si="11"/>
        <v>114.89999999999999</v>
      </c>
      <c r="M25" s="6">
        <f t="shared" si="11"/>
        <v>104.4</v>
      </c>
      <c r="N25" s="6">
        <f t="shared" si="11"/>
        <v>174.60000000000002</v>
      </c>
      <c r="O25" s="6">
        <f t="shared" si="11"/>
        <v>359.6</v>
      </c>
      <c r="P25" s="6">
        <f t="shared" ref="P25:R25" si="12">SUM(P23:P24)</f>
        <v>368.4</v>
      </c>
      <c r="Q25" s="6">
        <f t="shared" si="12"/>
        <v>371.59440000000006</v>
      </c>
      <c r="R25" s="6">
        <f t="shared" si="12"/>
        <v>457.76480000000015</v>
      </c>
      <c r="U25" s="6">
        <f>SUM(U23:U24)</f>
        <v>367</v>
      </c>
      <c r="V25" s="6">
        <f>SUM(V23:V24)</f>
        <v>432.79999999999995</v>
      </c>
      <c r="W25" s="6">
        <f>SUM(W23:W24)</f>
        <v>501.9</v>
      </c>
      <c r="X25" s="6">
        <f>SUM(X23:X24)</f>
        <v>1557.3592000000003</v>
      </c>
      <c r="Y25" s="6">
        <f t="shared" ref="Y25:AH25" si="13">SUM(Y23:Y24)</f>
        <v>2281.1206400000005</v>
      </c>
      <c r="Z25" s="6">
        <f t="shared" si="13"/>
        <v>3150.1163100000003</v>
      </c>
      <c r="AA25" s="6">
        <f t="shared" si="13"/>
        <v>4188.3850364999998</v>
      </c>
      <c r="AB25" s="6">
        <f t="shared" si="13"/>
        <v>5278.5671993250007</v>
      </c>
      <c r="AC25" s="6">
        <f t="shared" si="13"/>
        <v>6229.4906298712503</v>
      </c>
      <c r="AD25" s="6">
        <f t="shared" si="13"/>
        <v>7090.5612178288129</v>
      </c>
      <c r="AE25" s="6">
        <f t="shared" si="13"/>
        <v>7761.1070111870549</v>
      </c>
      <c r="AF25" s="6">
        <f t="shared" si="13"/>
        <v>8149.1623617464065</v>
      </c>
      <c r="AG25" s="6">
        <f t="shared" si="13"/>
        <v>8556.6204798337276</v>
      </c>
      <c r="AH25" s="6">
        <f t="shared" si="13"/>
        <v>8984.4515038254158</v>
      </c>
    </row>
    <row r="26" spans="2:34" s="3" customFormat="1" x14ac:dyDescent="0.3">
      <c r="B26" s="3" t="s">
        <v>29</v>
      </c>
      <c r="C26" s="12"/>
      <c r="G26" s="12">
        <f t="shared" ref="G26:O26" si="14">G22-G25</f>
        <v>65.7</v>
      </c>
      <c r="H26" s="12">
        <f t="shared" si="14"/>
        <v>75.400000000000006</v>
      </c>
      <c r="I26" s="12">
        <f t="shared" si="14"/>
        <v>67.3</v>
      </c>
      <c r="J26" s="12">
        <f t="shared" si="14"/>
        <v>75.499999999999986</v>
      </c>
      <c r="K26" s="12">
        <f t="shared" si="14"/>
        <v>81.5</v>
      </c>
      <c r="L26" s="12">
        <f t="shared" si="14"/>
        <v>73.499999999999986</v>
      </c>
      <c r="M26" s="12">
        <f t="shared" si="14"/>
        <v>63.300000000000011</v>
      </c>
      <c r="N26" s="12">
        <f t="shared" si="14"/>
        <v>100.40000000000009</v>
      </c>
      <c r="O26" s="12">
        <f t="shared" si="14"/>
        <v>95</v>
      </c>
      <c r="P26" s="12">
        <f t="shared" ref="P26:R26" si="15">P22-P25</f>
        <v>104.10000000000002</v>
      </c>
      <c r="Q26" s="12">
        <f t="shared" si="15"/>
        <v>95.965599999999995</v>
      </c>
      <c r="R26" s="12">
        <f t="shared" si="15"/>
        <v>119.75520000000006</v>
      </c>
      <c r="U26" s="12">
        <f>U22-U25</f>
        <v>173.60000000000002</v>
      </c>
      <c r="V26" s="12">
        <f>V22-V25</f>
        <v>283.89999999999998</v>
      </c>
      <c r="W26" s="12">
        <f>W22-W25</f>
        <v>318.70000000000005</v>
      </c>
      <c r="X26" s="12">
        <f>X22-X25</f>
        <v>414.82079999999996</v>
      </c>
      <c r="Y26" s="12">
        <f t="shared" ref="Y26:AH26" si="16">Y22-Y25</f>
        <v>656.49536000000035</v>
      </c>
      <c r="Z26" s="12">
        <f t="shared" si="16"/>
        <v>954.56919000000107</v>
      </c>
      <c r="AA26" s="12">
        <f t="shared" si="16"/>
        <v>1311.7548885000006</v>
      </c>
      <c r="AB26" s="12">
        <f t="shared" si="16"/>
        <v>1686.7998719249999</v>
      </c>
      <c r="AC26" s="12">
        <f t="shared" si="16"/>
        <v>2012.5165119412504</v>
      </c>
      <c r="AD26" s="12">
        <f t="shared" si="16"/>
        <v>2306.2436546743129</v>
      </c>
      <c r="AE26" s="12">
        <f t="shared" si="16"/>
        <v>2532.5890947612288</v>
      </c>
      <c r="AF26" s="12">
        <f t="shared" si="16"/>
        <v>2659.21854949929</v>
      </c>
      <c r="AG26" s="12">
        <f t="shared" si="16"/>
        <v>2792.1794769742555</v>
      </c>
      <c r="AH26" s="12">
        <f t="shared" si="16"/>
        <v>2931.7884508229672</v>
      </c>
    </row>
    <row r="27" spans="2:34" x14ac:dyDescent="0.3">
      <c r="B27" s="1" t="s">
        <v>30</v>
      </c>
      <c r="C27" s="6"/>
      <c r="G27" s="6">
        <v>23.8</v>
      </c>
      <c r="H27" s="6">
        <v>28.1</v>
      </c>
      <c r="I27" s="6">
        <v>27.8</v>
      </c>
      <c r="J27" s="13">
        <f t="shared" ref="J27:J28" si="17">V27-I27-H27-G27</f>
        <v>34.700000000000003</v>
      </c>
      <c r="K27" s="6">
        <v>33.799999999999997</v>
      </c>
      <c r="L27" s="6">
        <v>37.9</v>
      </c>
      <c r="M27" s="6">
        <v>43.8</v>
      </c>
      <c r="N27" s="13">
        <f t="shared" ref="N27:N28" si="18">W27-M27-L27-K27</f>
        <v>43.300000000000026</v>
      </c>
      <c r="O27" s="6">
        <v>131.30000000000001</v>
      </c>
      <c r="P27" s="6">
        <v>98.3</v>
      </c>
      <c r="Q27" s="6">
        <v>140</v>
      </c>
      <c r="R27" s="6">
        <v>150</v>
      </c>
      <c r="U27" s="6">
        <v>131.9</v>
      </c>
      <c r="V27" s="6">
        <v>114.4</v>
      </c>
      <c r="W27" s="6">
        <v>158.80000000000001</v>
      </c>
      <c r="X27" s="6">
        <f t="shared" ref="X27:X29" si="19">SUM(O27:R27)</f>
        <v>519.6</v>
      </c>
      <c r="Y27" s="6">
        <f>X27*1.5</f>
        <v>779.40000000000009</v>
      </c>
      <c r="Z27" s="6">
        <f>Y27*1.05</f>
        <v>818.37000000000012</v>
      </c>
      <c r="AA27" s="6">
        <f>Z27*1.04</f>
        <v>851.10480000000018</v>
      </c>
      <c r="AB27" s="6">
        <f>AA27*1.03</f>
        <v>876.63794400000018</v>
      </c>
      <c r="AC27" s="6">
        <f>AB27*1.02</f>
        <v>894.17070288000025</v>
      </c>
      <c r="AD27" s="6">
        <f t="shared" ref="AD27:AH27" si="20">AC27*1.02</f>
        <v>912.05411693760027</v>
      </c>
      <c r="AE27" s="6">
        <f t="shared" si="20"/>
        <v>930.29519927635226</v>
      </c>
      <c r="AF27" s="6">
        <f t="shared" si="20"/>
        <v>948.90110326187937</v>
      </c>
      <c r="AG27" s="6">
        <f t="shared" si="20"/>
        <v>967.87912532711698</v>
      </c>
      <c r="AH27" s="6">
        <f t="shared" si="20"/>
        <v>987.23670783365935</v>
      </c>
    </row>
    <row r="28" spans="2:34" x14ac:dyDescent="0.3">
      <c r="B28" s="1" t="s">
        <v>31</v>
      </c>
      <c r="C28" s="6"/>
      <c r="G28" s="6">
        <v>15.5</v>
      </c>
      <c r="H28" s="6">
        <v>22</v>
      </c>
      <c r="I28" s="6">
        <v>25.1</v>
      </c>
      <c r="J28" s="13">
        <f t="shared" si="17"/>
        <v>35.099999999999994</v>
      </c>
      <c r="K28" s="6">
        <v>24.6</v>
      </c>
      <c r="L28" s="6">
        <v>28.7</v>
      </c>
      <c r="M28" s="6">
        <v>22.5</v>
      </c>
      <c r="N28" s="13">
        <f t="shared" si="18"/>
        <v>24.9</v>
      </c>
      <c r="O28" s="6">
        <v>33.1</v>
      </c>
      <c r="P28" s="6">
        <v>36</v>
      </c>
      <c r="Q28" s="6">
        <v>32</v>
      </c>
      <c r="R28" s="6">
        <v>35</v>
      </c>
      <c r="U28" s="6">
        <v>64.3</v>
      </c>
      <c r="V28" s="6">
        <v>97.7</v>
      </c>
      <c r="W28" s="6">
        <v>100.7</v>
      </c>
      <c r="X28" s="6">
        <f t="shared" si="19"/>
        <v>136.1</v>
      </c>
      <c r="Y28" s="6">
        <f>X28*1.03</f>
        <v>140.18299999999999</v>
      </c>
      <c r="Z28" s="6">
        <f t="shared" ref="Z28:AH28" si="21">Y28*1.03</f>
        <v>144.38848999999999</v>
      </c>
      <c r="AA28" s="6">
        <f t="shared" si="21"/>
        <v>148.72014469999999</v>
      </c>
      <c r="AB28" s="6">
        <f t="shared" si="21"/>
        <v>153.18174904099999</v>
      </c>
      <c r="AC28" s="6">
        <f t="shared" si="21"/>
        <v>157.77720151222999</v>
      </c>
      <c r="AD28" s="6">
        <f t="shared" si="21"/>
        <v>162.5105175575969</v>
      </c>
      <c r="AE28" s="6">
        <f t="shared" si="21"/>
        <v>167.38583308432482</v>
      </c>
      <c r="AF28" s="6">
        <f t="shared" si="21"/>
        <v>172.40740807685455</v>
      </c>
      <c r="AG28" s="6">
        <f t="shared" si="21"/>
        <v>177.5796303191602</v>
      </c>
      <c r="AH28" s="6">
        <f t="shared" si="21"/>
        <v>182.90701922873501</v>
      </c>
    </row>
    <row r="29" spans="2:34" x14ac:dyDescent="0.3">
      <c r="B29" s="1" t="s">
        <v>42</v>
      </c>
      <c r="C29" s="6"/>
      <c r="G29" s="6"/>
      <c r="H29" s="6"/>
      <c r="I29" s="6"/>
      <c r="J29" s="13"/>
      <c r="K29" s="6"/>
      <c r="L29" s="6"/>
      <c r="M29" s="6"/>
      <c r="N29" s="13">
        <f>W29-M29-L29-K29</f>
        <v>18.399999999999999</v>
      </c>
      <c r="O29" s="6"/>
      <c r="P29" s="6">
        <v>0</v>
      </c>
      <c r="Q29" s="6">
        <v>0</v>
      </c>
      <c r="R29" s="6">
        <v>0</v>
      </c>
      <c r="U29" s="6">
        <v>156</v>
      </c>
      <c r="V29" s="6">
        <v>0</v>
      </c>
      <c r="W29" s="6">
        <v>18.399999999999999</v>
      </c>
      <c r="X29" s="6">
        <f t="shared" si="19"/>
        <v>0</v>
      </c>
      <c r="Y29" s="6">
        <v>0</v>
      </c>
      <c r="Z29" s="6">
        <v>0</v>
      </c>
      <c r="AA29" s="6">
        <v>0</v>
      </c>
      <c r="AB29" s="6">
        <v>0</v>
      </c>
      <c r="AC29" s="6">
        <v>0</v>
      </c>
      <c r="AD29" s="6">
        <v>0</v>
      </c>
      <c r="AE29" s="6">
        <v>0</v>
      </c>
      <c r="AF29" s="6">
        <v>0</v>
      </c>
      <c r="AG29" s="6">
        <v>0</v>
      </c>
      <c r="AH29" s="6">
        <v>0</v>
      </c>
    </row>
    <row r="30" spans="2:34" s="3" customFormat="1" x14ac:dyDescent="0.3">
      <c r="B30" s="3" t="s">
        <v>32</v>
      </c>
      <c r="C30" s="12"/>
      <c r="G30" s="12">
        <f t="shared" ref="G30:R30" si="22">G26-G27-G28-G29</f>
        <v>26.400000000000006</v>
      </c>
      <c r="H30" s="12">
        <f t="shared" si="22"/>
        <v>25.300000000000004</v>
      </c>
      <c r="I30" s="12">
        <f t="shared" si="22"/>
        <v>14.399999999999999</v>
      </c>
      <c r="J30" s="12">
        <f t="shared" si="22"/>
        <v>5.6999999999999886</v>
      </c>
      <c r="K30" s="12">
        <f t="shared" si="22"/>
        <v>23.1</v>
      </c>
      <c r="L30" s="12">
        <f t="shared" si="22"/>
        <v>6.8999999999999879</v>
      </c>
      <c r="M30" s="12">
        <f t="shared" si="22"/>
        <v>-2.9999999999999858</v>
      </c>
      <c r="N30" s="12">
        <f t="shared" si="22"/>
        <v>13.800000000000068</v>
      </c>
      <c r="O30" s="12">
        <f t="shared" si="22"/>
        <v>-69.400000000000006</v>
      </c>
      <c r="P30" s="12">
        <f t="shared" si="22"/>
        <v>-30.199999999999974</v>
      </c>
      <c r="Q30" s="12">
        <f t="shared" si="22"/>
        <v>-76.034400000000005</v>
      </c>
      <c r="R30" s="12">
        <f t="shared" si="22"/>
        <v>-65.244799999999941</v>
      </c>
      <c r="U30" s="12">
        <f>U26-U27-U28-U29</f>
        <v>-178.59999999999997</v>
      </c>
      <c r="V30" s="12">
        <f>V26-V27-V28-V29</f>
        <v>71.799999999999969</v>
      </c>
      <c r="W30" s="12">
        <f>W26-W27-W28-W29</f>
        <v>40.800000000000033</v>
      </c>
      <c r="X30" s="12">
        <f>X26-X27-X28-X29</f>
        <v>-240.87920000000005</v>
      </c>
      <c r="Y30" s="12">
        <f>Y26-Y27-Y28-Y29</f>
        <v>-263.08763999999974</v>
      </c>
      <c r="Z30" s="12">
        <f t="shared" ref="Z30:AH30" si="23">Z26-Z27-Z28-Z29</f>
        <v>-8.1892999999990366</v>
      </c>
      <c r="AA30" s="12">
        <f t="shared" si="23"/>
        <v>311.92994380000039</v>
      </c>
      <c r="AB30" s="12">
        <f t="shared" si="23"/>
        <v>656.98017888399977</v>
      </c>
      <c r="AC30" s="12">
        <f t="shared" si="23"/>
        <v>960.56860754902027</v>
      </c>
      <c r="AD30" s="12">
        <f t="shared" si="23"/>
        <v>1231.6790201791159</v>
      </c>
      <c r="AE30" s="12">
        <f t="shared" si="23"/>
        <v>1434.9080624005517</v>
      </c>
      <c r="AF30" s="12">
        <f t="shared" si="23"/>
        <v>1537.910038160556</v>
      </c>
      <c r="AG30" s="12">
        <f t="shared" si="23"/>
        <v>1646.7207213279783</v>
      </c>
      <c r="AH30" s="12">
        <f t="shared" si="23"/>
        <v>1761.644723760573</v>
      </c>
    </row>
    <row r="31" spans="2:34" x14ac:dyDescent="0.3">
      <c r="B31" s="1" t="s">
        <v>33</v>
      </c>
      <c r="C31" s="6"/>
      <c r="G31" s="6">
        <v>2</v>
      </c>
      <c r="H31" s="6">
        <v>2</v>
      </c>
      <c r="I31" s="6">
        <v>0.1</v>
      </c>
      <c r="J31" s="13">
        <f t="shared" ref="J31:J32" si="24">V31-I31-H31-G31</f>
        <v>0.10000000000000053</v>
      </c>
      <c r="K31" s="6">
        <v>0.2</v>
      </c>
      <c r="L31" s="6">
        <v>0.7</v>
      </c>
      <c r="M31" s="6">
        <v>0.2</v>
      </c>
      <c r="N31" s="13">
        <f t="shared" ref="N31:N32" si="25">W31-M31-L31-K31</f>
        <v>1.1000000000000001</v>
      </c>
      <c r="O31" s="6">
        <v>17.399999999999999</v>
      </c>
      <c r="P31" s="6">
        <v>-4.7</v>
      </c>
      <c r="Q31" s="6">
        <v>2</v>
      </c>
      <c r="R31" s="6">
        <v>2</v>
      </c>
      <c r="U31" s="6">
        <v>9.4</v>
      </c>
      <c r="V31" s="6">
        <v>4.2</v>
      </c>
      <c r="W31" s="6">
        <v>2.2000000000000002</v>
      </c>
      <c r="X31" s="6">
        <f t="shared" ref="X31:X32" si="26">SUM(O31:R31)</f>
        <v>16.7</v>
      </c>
      <c r="Y31" s="6">
        <f>X31*1.02</f>
        <v>17.033999999999999</v>
      </c>
      <c r="Z31" s="6">
        <f t="shared" ref="Z31:AH31" si="27">Y31*1.02</f>
        <v>17.374679999999998</v>
      </c>
      <c r="AA31" s="6">
        <f t="shared" si="27"/>
        <v>17.722173599999998</v>
      </c>
      <c r="AB31" s="6">
        <f t="shared" si="27"/>
        <v>18.076617071999998</v>
      </c>
      <c r="AC31" s="6">
        <f t="shared" si="27"/>
        <v>18.438149413439998</v>
      </c>
      <c r="AD31" s="6">
        <f t="shared" si="27"/>
        <v>18.806912401708797</v>
      </c>
      <c r="AE31" s="6">
        <f t="shared" si="27"/>
        <v>19.183050649742974</v>
      </c>
      <c r="AF31" s="6">
        <f t="shared" si="27"/>
        <v>19.566711662737834</v>
      </c>
      <c r="AG31" s="6">
        <f t="shared" si="27"/>
        <v>19.958045895992591</v>
      </c>
      <c r="AH31" s="6">
        <f t="shared" si="27"/>
        <v>20.357206813912441</v>
      </c>
    </row>
    <row r="32" spans="2:34" x14ac:dyDescent="0.3">
      <c r="B32" s="1" t="s">
        <v>34</v>
      </c>
      <c r="C32" s="6"/>
      <c r="G32" s="6">
        <v>1.1000000000000001</v>
      </c>
      <c r="H32" s="6">
        <v>2.9</v>
      </c>
      <c r="I32" s="6">
        <v>-1</v>
      </c>
      <c r="J32" s="13">
        <f t="shared" si="24"/>
        <v>1.4000000000000004</v>
      </c>
      <c r="K32" s="6">
        <v>0.2</v>
      </c>
      <c r="L32" s="6">
        <v>0</v>
      </c>
      <c r="M32" s="6">
        <v>-1</v>
      </c>
      <c r="N32" s="13">
        <f t="shared" si="25"/>
        <v>-0.3000000000000001</v>
      </c>
      <c r="O32" s="6">
        <v>-2.4</v>
      </c>
      <c r="P32" s="6">
        <v>-5</v>
      </c>
      <c r="Q32" s="6">
        <v>0</v>
      </c>
      <c r="R32" s="6">
        <v>0</v>
      </c>
      <c r="U32" s="6">
        <v>0.3</v>
      </c>
      <c r="V32" s="6">
        <v>4.4000000000000004</v>
      </c>
      <c r="W32" s="6">
        <v>-1.1000000000000001</v>
      </c>
      <c r="X32" s="6">
        <f t="shared" si="26"/>
        <v>-7.4</v>
      </c>
      <c r="Y32" s="6">
        <f>X32*1.1</f>
        <v>-8.14</v>
      </c>
      <c r="Z32" s="6">
        <f t="shared" ref="Z32:AH32" si="28">Y32*1.1</f>
        <v>-8.9540000000000006</v>
      </c>
      <c r="AA32" s="6">
        <f t="shared" si="28"/>
        <v>-9.849400000000001</v>
      </c>
      <c r="AB32" s="6">
        <f t="shared" si="28"/>
        <v>-10.834340000000003</v>
      </c>
      <c r="AC32" s="6">
        <f t="shared" si="28"/>
        <v>-11.917774000000003</v>
      </c>
      <c r="AD32" s="6">
        <f t="shared" si="28"/>
        <v>-13.109551400000004</v>
      </c>
      <c r="AE32" s="6">
        <f t="shared" si="28"/>
        <v>-14.420506540000005</v>
      </c>
      <c r="AF32" s="6">
        <f t="shared" si="28"/>
        <v>-15.862557194000008</v>
      </c>
      <c r="AG32" s="6">
        <f t="shared" si="28"/>
        <v>-17.448812913400008</v>
      </c>
      <c r="AH32" s="6">
        <f t="shared" si="28"/>
        <v>-19.193694204740012</v>
      </c>
    </row>
    <row r="33" spans="2:138" s="3" customFormat="1" x14ac:dyDescent="0.3">
      <c r="B33" s="3" t="s">
        <v>35</v>
      </c>
      <c r="C33" s="12"/>
      <c r="G33" s="12">
        <f t="shared" ref="G33:R33" si="29">G30-G31-G32</f>
        <v>23.300000000000004</v>
      </c>
      <c r="H33" s="12">
        <f t="shared" si="29"/>
        <v>20.400000000000006</v>
      </c>
      <c r="I33" s="12">
        <f t="shared" si="29"/>
        <v>15.299999999999999</v>
      </c>
      <c r="J33" s="12">
        <f t="shared" si="29"/>
        <v>4.1999999999999877</v>
      </c>
      <c r="K33" s="12">
        <f t="shared" si="29"/>
        <v>22.700000000000003</v>
      </c>
      <c r="L33" s="12">
        <f t="shared" si="29"/>
        <v>6.1999999999999877</v>
      </c>
      <c r="M33" s="12">
        <f t="shared" si="29"/>
        <v>-2.199999999999986</v>
      </c>
      <c r="N33" s="12">
        <f t="shared" si="29"/>
        <v>13.000000000000069</v>
      </c>
      <c r="O33" s="12">
        <f t="shared" si="29"/>
        <v>-84.4</v>
      </c>
      <c r="P33" s="12">
        <f t="shared" si="29"/>
        <v>-20.499999999999975</v>
      </c>
      <c r="Q33" s="12">
        <f t="shared" si="29"/>
        <v>-78.034400000000005</v>
      </c>
      <c r="R33" s="12">
        <f t="shared" si="29"/>
        <v>-67.244799999999941</v>
      </c>
      <c r="U33" s="12">
        <f>U30-U31-U32</f>
        <v>-188.29999999999998</v>
      </c>
      <c r="V33" s="12">
        <f>V30-V31-V32</f>
        <v>63.199999999999967</v>
      </c>
      <c r="W33" s="12">
        <f>W30-W31-W32</f>
        <v>39.700000000000031</v>
      </c>
      <c r="X33" s="12">
        <f>X30-X31-X32</f>
        <v>-250.17920000000007</v>
      </c>
      <c r="Y33" s="12">
        <f>Y30-Y31-Y32</f>
        <v>-271.98163999999974</v>
      </c>
      <c r="Z33" s="12">
        <f t="shared" ref="Z33:AH33" si="30">Z30-Z31-Z32</f>
        <v>-16.609979999999034</v>
      </c>
      <c r="AA33" s="12">
        <f t="shared" si="30"/>
        <v>304.05717020000037</v>
      </c>
      <c r="AB33" s="12">
        <f t="shared" si="30"/>
        <v>649.73790181199979</v>
      </c>
      <c r="AC33" s="12">
        <f t="shared" si="30"/>
        <v>954.04823213558029</v>
      </c>
      <c r="AD33" s="12">
        <f t="shared" si="30"/>
        <v>1225.9816591774072</v>
      </c>
      <c r="AE33" s="12">
        <f t="shared" si="30"/>
        <v>1430.1455182908087</v>
      </c>
      <c r="AF33" s="12">
        <f t="shared" si="30"/>
        <v>1534.2058836918181</v>
      </c>
      <c r="AG33" s="12">
        <f t="shared" si="30"/>
        <v>1644.2114883453855</v>
      </c>
      <c r="AH33" s="12">
        <f t="shared" si="30"/>
        <v>1760.4812111514007</v>
      </c>
    </row>
    <row r="34" spans="2:138" x14ac:dyDescent="0.3">
      <c r="B34" s="1" t="s">
        <v>36</v>
      </c>
      <c r="C34" s="6"/>
      <c r="G34" s="6">
        <v>1.3</v>
      </c>
      <c r="H34" s="6">
        <v>1.1000000000000001</v>
      </c>
      <c r="I34" s="6">
        <v>1.3</v>
      </c>
      <c r="J34" s="13">
        <f t="shared" ref="J34:J35" si="31">V34-I34-H34-G34</f>
        <v>-1.8000000000000003</v>
      </c>
      <c r="K34" s="6">
        <v>1.5</v>
      </c>
      <c r="L34" s="6">
        <v>-0.2</v>
      </c>
      <c r="M34" s="6">
        <v>-0.6</v>
      </c>
      <c r="N34" s="13">
        <f t="shared" ref="N34:N35" si="32">W34-M34-L34-K34</f>
        <v>0.19999999999999996</v>
      </c>
      <c r="O34" s="6">
        <v>-15.2</v>
      </c>
      <c r="P34" s="6">
        <v>-2.2999999999999998</v>
      </c>
      <c r="Q34" s="6">
        <v>0</v>
      </c>
      <c r="R34" s="6">
        <v>0</v>
      </c>
      <c r="U34" s="6">
        <v>-14.7</v>
      </c>
      <c r="V34" s="6">
        <v>1.9</v>
      </c>
      <c r="W34" s="6">
        <v>0.9</v>
      </c>
      <c r="X34" s="6">
        <f t="shared" ref="X34:X35" si="33">SUM(O34:R34)</f>
        <v>-17.5</v>
      </c>
      <c r="Y34" s="6">
        <v>0</v>
      </c>
      <c r="Z34" s="6">
        <v>0</v>
      </c>
      <c r="AA34" s="6">
        <v>0</v>
      </c>
      <c r="AB34" s="6">
        <v>0</v>
      </c>
      <c r="AC34" s="6">
        <v>0</v>
      </c>
      <c r="AD34" s="6">
        <v>0</v>
      </c>
      <c r="AE34" s="6">
        <v>0</v>
      </c>
      <c r="AF34" s="6">
        <v>0</v>
      </c>
      <c r="AG34" s="6">
        <v>0</v>
      </c>
      <c r="AH34" s="6">
        <v>0</v>
      </c>
    </row>
    <row r="35" spans="2:138" x14ac:dyDescent="0.3">
      <c r="B35" s="1" t="s">
        <v>38</v>
      </c>
      <c r="C35" s="6"/>
      <c r="G35" s="6">
        <v>0</v>
      </c>
      <c r="H35" s="6">
        <v>1.4</v>
      </c>
      <c r="I35" s="6">
        <v>0.1</v>
      </c>
      <c r="J35" s="13">
        <f t="shared" si="31"/>
        <v>0.19999999999999996</v>
      </c>
      <c r="K35" s="6">
        <v>-0.1</v>
      </c>
      <c r="L35" s="6">
        <v>-1</v>
      </c>
      <c r="M35" s="6">
        <v>0</v>
      </c>
      <c r="N35" s="13">
        <f t="shared" si="32"/>
        <v>-3.6999999999999997</v>
      </c>
      <c r="O35" s="6">
        <v>-1.8</v>
      </c>
      <c r="P35" s="6">
        <v>-1.2</v>
      </c>
      <c r="Q35" s="6">
        <v>0</v>
      </c>
      <c r="R35" s="6">
        <v>0</v>
      </c>
      <c r="U35" s="6">
        <v>2.5</v>
      </c>
      <c r="V35" s="6">
        <v>1.7</v>
      </c>
      <c r="W35" s="6">
        <v>-4.8</v>
      </c>
      <c r="X35" s="6">
        <f t="shared" si="33"/>
        <v>-3</v>
      </c>
      <c r="Y35" s="6">
        <v>0</v>
      </c>
      <c r="Z35" s="6">
        <v>0</v>
      </c>
      <c r="AA35" s="6">
        <v>0</v>
      </c>
      <c r="AB35" s="6">
        <v>0</v>
      </c>
      <c r="AC35" s="6">
        <v>0</v>
      </c>
      <c r="AD35" s="6">
        <v>0</v>
      </c>
      <c r="AE35" s="6">
        <v>0</v>
      </c>
      <c r="AF35" s="6">
        <v>0</v>
      </c>
      <c r="AG35" s="6">
        <v>0</v>
      </c>
      <c r="AH35" s="6">
        <v>0</v>
      </c>
    </row>
    <row r="36" spans="2:138" s="3" customFormat="1" x14ac:dyDescent="0.3">
      <c r="B36" s="3" t="s">
        <v>37</v>
      </c>
      <c r="C36" s="12"/>
      <c r="G36" s="12">
        <f t="shared" ref="G36:O36" si="34">G33-G34-G35</f>
        <v>22.000000000000004</v>
      </c>
      <c r="H36" s="12">
        <f t="shared" si="34"/>
        <v>17.900000000000006</v>
      </c>
      <c r="I36" s="12">
        <f t="shared" si="34"/>
        <v>13.899999999999999</v>
      </c>
      <c r="J36" s="12">
        <f t="shared" si="34"/>
        <v>5.7999999999999874</v>
      </c>
      <c r="K36" s="12">
        <f t="shared" si="34"/>
        <v>21.300000000000004</v>
      </c>
      <c r="L36" s="12">
        <f t="shared" si="34"/>
        <v>7.3999999999999879</v>
      </c>
      <c r="M36" s="12">
        <f t="shared" si="34"/>
        <v>-1.5999999999999859</v>
      </c>
      <c r="N36" s="12">
        <f t="shared" si="34"/>
        <v>16.500000000000071</v>
      </c>
      <c r="O36" s="12">
        <f t="shared" si="34"/>
        <v>-67.400000000000006</v>
      </c>
      <c r="P36" s="12">
        <f t="shared" ref="P36:R36" si="35">P33-P34-P35</f>
        <v>-16.999999999999975</v>
      </c>
      <c r="Q36" s="12">
        <f t="shared" si="35"/>
        <v>-78.034400000000005</v>
      </c>
      <c r="R36" s="12">
        <f t="shared" si="35"/>
        <v>-67.244799999999941</v>
      </c>
      <c r="U36" s="12">
        <f>U33-U34-U35</f>
        <v>-176.1</v>
      </c>
      <c r="V36" s="12">
        <f>V33-V34-V35</f>
        <v>59.599999999999966</v>
      </c>
      <c r="W36" s="12">
        <f>W33-W34-W35</f>
        <v>43.60000000000003</v>
      </c>
      <c r="X36" s="12">
        <f>X33-X34-X35</f>
        <v>-229.67920000000007</v>
      </c>
      <c r="Y36" s="12">
        <f>Y33-Y34-Y35</f>
        <v>-271.98163999999974</v>
      </c>
      <c r="Z36" s="12">
        <f t="shared" ref="Z36:AH36" si="36">Z33-Z34-Z35</f>
        <v>-16.609979999999034</v>
      </c>
      <c r="AA36" s="12">
        <f t="shared" si="36"/>
        <v>304.05717020000037</v>
      </c>
      <c r="AB36" s="12">
        <f t="shared" si="36"/>
        <v>649.73790181199979</v>
      </c>
      <c r="AC36" s="12">
        <f t="shared" si="36"/>
        <v>954.04823213558029</v>
      </c>
      <c r="AD36" s="12">
        <f t="shared" si="36"/>
        <v>1225.9816591774072</v>
      </c>
      <c r="AE36" s="12">
        <f t="shared" si="36"/>
        <v>1430.1455182908087</v>
      </c>
      <c r="AF36" s="12">
        <f t="shared" si="36"/>
        <v>1534.2058836918181</v>
      </c>
      <c r="AG36" s="12">
        <f t="shared" si="36"/>
        <v>1644.2114883453855</v>
      </c>
      <c r="AH36" s="12">
        <f t="shared" si="36"/>
        <v>1760.4812111514007</v>
      </c>
      <c r="AI36" s="3">
        <f>AH36*(1+$AK$43)</f>
        <v>1742.8763990398866</v>
      </c>
      <c r="AJ36" s="3">
        <f t="shared" ref="AJ36:CU36" si="37">AI36*(1+$AK$43)</f>
        <v>1725.4476350494876</v>
      </c>
      <c r="AK36" s="3">
        <f t="shared" si="37"/>
        <v>1708.1931586989926</v>
      </c>
      <c r="AL36" s="3">
        <f t="shared" si="37"/>
        <v>1691.1112271120028</v>
      </c>
      <c r="AM36" s="3">
        <f t="shared" si="37"/>
        <v>1674.2001148408826</v>
      </c>
      <c r="AN36" s="3">
        <f t="shared" si="37"/>
        <v>1657.4581136924737</v>
      </c>
      <c r="AO36" s="3">
        <f t="shared" si="37"/>
        <v>1640.883532555549</v>
      </c>
      <c r="AP36" s="3">
        <f t="shared" si="37"/>
        <v>1624.4746972299936</v>
      </c>
      <c r="AQ36" s="3">
        <f t="shared" si="37"/>
        <v>1608.2299502576936</v>
      </c>
      <c r="AR36" s="3">
        <f t="shared" si="37"/>
        <v>1592.1476507551167</v>
      </c>
      <c r="AS36" s="3">
        <f t="shared" si="37"/>
        <v>1576.2261742475655</v>
      </c>
      <c r="AT36" s="3">
        <f t="shared" si="37"/>
        <v>1560.4639125050899</v>
      </c>
      <c r="AU36" s="3">
        <f t="shared" si="37"/>
        <v>1544.859273380039</v>
      </c>
      <c r="AV36" s="3">
        <f t="shared" si="37"/>
        <v>1529.4106806462387</v>
      </c>
      <c r="AW36" s="3">
        <f t="shared" si="37"/>
        <v>1514.1165738397763</v>
      </c>
      <c r="AX36" s="3">
        <f t="shared" si="37"/>
        <v>1498.9754081013784</v>
      </c>
      <c r="AY36" s="3">
        <f t="shared" si="37"/>
        <v>1483.9856540203646</v>
      </c>
      <c r="AZ36" s="3">
        <f t="shared" si="37"/>
        <v>1469.1457974801608</v>
      </c>
      <c r="BA36" s="3">
        <f t="shared" si="37"/>
        <v>1454.4543395053593</v>
      </c>
      <c r="BB36" s="3">
        <f t="shared" si="37"/>
        <v>1439.9097961103057</v>
      </c>
      <c r="BC36" s="3">
        <f t="shared" si="37"/>
        <v>1425.5106981492027</v>
      </c>
      <c r="BD36" s="3">
        <f t="shared" si="37"/>
        <v>1411.2555911677107</v>
      </c>
      <c r="BE36" s="3">
        <f t="shared" si="37"/>
        <v>1397.1430352560335</v>
      </c>
      <c r="BF36" s="3">
        <f t="shared" si="37"/>
        <v>1383.1716049034731</v>
      </c>
      <c r="BG36" s="3">
        <f t="shared" si="37"/>
        <v>1369.3398888544384</v>
      </c>
      <c r="BH36" s="3">
        <f t="shared" si="37"/>
        <v>1355.646489965894</v>
      </c>
      <c r="BI36" s="3">
        <f t="shared" si="37"/>
        <v>1342.0900250662351</v>
      </c>
      <c r="BJ36" s="3">
        <f t="shared" si="37"/>
        <v>1328.6691248155728</v>
      </c>
      <c r="BK36" s="3">
        <f t="shared" si="37"/>
        <v>1315.3824335674171</v>
      </c>
      <c r="BL36" s="3">
        <f t="shared" si="37"/>
        <v>1302.2286092317429</v>
      </c>
      <c r="BM36" s="3">
        <f t="shared" si="37"/>
        <v>1289.2063231394254</v>
      </c>
      <c r="BN36" s="3">
        <f t="shared" si="37"/>
        <v>1276.3142599080311</v>
      </c>
      <c r="BO36" s="3">
        <f t="shared" si="37"/>
        <v>1263.5511173089508</v>
      </c>
      <c r="BP36" s="3">
        <f t="shared" si="37"/>
        <v>1250.9156061358613</v>
      </c>
      <c r="BQ36" s="3">
        <f t="shared" si="37"/>
        <v>1238.4064500745026</v>
      </c>
      <c r="BR36" s="3">
        <f t="shared" si="37"/>
        <v>1226.0223855737574</v>
      </c>
      <c r="BS36" s="3">
        <f t="shared" si="37"/>
        <v>1213.7621617180198</v>
      </c>
      <c r="BT36" s="3">
        <f t="shared" si="37"/>
        <v>1201.6245401008396</v>
      </c>
      <c r="BU36" s="3">
        <f t="shared" si="37"/>
        <v>1189.608294699831</v>
      </c>
      <c r="BV36" s="3">
        <f t="shared" si="37"/>
        <v>1177.7122117528327</v>
      </c>
      <c r="BW36" s="3">
        <f t="shared" si="37"/>
        <v>1165.9350896353044</v>
      </c>
      <c r="BX36" s="3">
        <f t="shared" si="37"/>
        <v>1154.2757387389513</v>
      </c>
      <c r="BY36" s="3">
        <f t="shared" si="37"/>
        <v>1142.7329813515619</v>
      </c>
      <c r="BZ36" s="3">
        <f t="shared" si="37"/>
        <v>1131.3056515380463</v>
      </c>
      <c r="CA36" s="3">
        <f t="shared" si="37"/>
        <v>1119.9925950226659</v>
      </c>
      <c r="CB36" s="3">
        <f t="shared" si="37"/>
        <v>1108.7926690724391</v>
      </c>
      <c r="CC36" s="3">
        <f t="shared" si="37"/>
        <v>1097.7047423817148</v>
      </c>
      <c r="CD36" s="3">
        <f t="shared" si="37"/>
        <v>1086.7276949578977</v>
      </c>
      <c r="CE36" s="3">
        <f t="shared" si="37"/>
        <v>1075.8604180083187</v>
      </c>
      <c r="CF36" s="3">
        <f t="shared" si="37"/>
        <v>1065.1018138282354</v>
      </c>
      <c r="CG36" s="3">
        <f t="shared" si="37"/>
        <v>1054.4507956899531</v>
      </c>
      <c r="CH36" s="3">
        <f t="shared" si="37"/>
        <v>1043.9062877330537</v>
      </c>
      <c r="CI36" s="3">
        <f t="shared" si="37"/>
        <v>1033.4672248557231</v>
      </c>
      <c r="CJ36" s="3">
        <f t="shared" si="37"/>
        <v>1023.1325526071658</v>
      </c>
      <c r="CK36" s="3">
        <f t="shared" si="37"/>
        <v>1012.9012270810941</v>
      </c>
      <c r="CL36" s="3">
        <f t="shared" si="37"/>
        <v>1002.7722148102832</v>
      </c>
      <c r="CM36" s="3">
        <f t="shared" si="37"/>
        <v>992.74449266218039</v>
      </c>
      <c r="CN36" s="3">
        <f t="shared" si="37"/>
        <v>982.81704773555862</v>
      </c>
      <c r="CO36" s="3">
        <f t="shared" si="37"/>
        <v>972.98887725820305</v>
      </c>
      <c r="CP36" s="3">
        <f t="shared" si="37"/>
        <v>963.25898848562099</v>
      </c>
      <c r="CQ36" s="3">
        <f t="shared" si="37"/>
        <v>953.62639860076479</v>
      </c>
      <c r="CR36" s="3">
        <f t="shared" si="37"/>
        <v>944.09013461475718</v>
      </c>
      <c r="CS36" s="3">
        <f t="shared" si="37"/>
        <v>934.64923326860958</v>
      </c>
      <c r="CT36" s="3">
        <f t="shared" si="37"/>
        <v>925.30274093592345</v>
      </c>
      <c r="CU36" s="3">
        <f t="shared" si="37"/>
        <v>916.04971352656423</v>
      </c>
      <c r="CV36" s="3">
        <f t="shared" ref="CV36:EH36" si="38">CU36*(1+$AK$43)</f>
        <v>906.88921639129853</v>
      </c>
      <c r="CW36" s="3">
        <f t="shared" si="38"/>
        <v>897.82032422738553</v>
      </c>
      <c r="CX36" s="3">
        <f t="shared" si="38"/>
        <v>888.84212098511171</v>
      </c>
      <c r="CY36" s="3">
        <f t="shared" si="38"/>
        <v>879.95369977526059</v>
      </c>
      <c r="CZ36" s="3">
        <f t="shared" si="38"/>
        <v>871.15416277750796</v>
      </c>
      <c r="DA36" s="3">
        <f t="shared" si="38"/>
        <v>862.44262114973287</v>
      </c>
      <c r="DB36" s="3">
        <f t="shared" si="38"/>
        <v>853.81819493823559</v>
      </c>
      <c r="DC36" s="3">
        <f t="shared" si="38"/>
        <v>845.28001298885317</v>
      </c>
      <c r="DD36" s="3">
        <f t="shared" si="38"/>
        <v>836.82721285896469</v>
      </c>
      <c r="DE36" s="3">
        <f t="shared" si="38"/>
        <v>828.45894073037505</v>
      </c>
      <c r="DF36" s="3">
        <f t="shared" si="38"/>
        <v>820.17435132307128</v>
      </c>
      <c r="DG36" s="3">
        <f t="shared" si="38"/>
        <v>811.97260780984061</v>
      </c>
      <c r="DH36" s="3">
        <f t="shared" si="38"/>
        <v>803.85288173174217</v>
      </c>
      <c r="DI36" s="3">
        <f t="shared" si="38"/>
        <v>795.81435291442472</v>
      </c>
      <c r="DJ36" s="3">
        <f t="shared" si="38"/>
        <v>787.85620938528041</v>
      </c>
      <c r="DK36" s="3">
        <f t="shared" si="38"/>
        <v>779.97764729142762</v>
      </c>
      <c r="DL36" s="3">
        <f t="shared" si="38"/>
        <v>772.17787081851338</v>
      </c>
      <c r="DM36" s="3">
        <f t="shared" si="38"/>
        <v>764.4560921103282</v>
      </c>
      <c r="DN36" s="3">
        <f t="shared" si="38"/>
        <v>756.81153118922487</v>
      </c>
      <c r="DO36" s="3">
        <f t="shared" si="38"/>
        <v>749.24341587733261</v>
      </c>
      <c r="DP36" s="3">
        <f t="shared" si="38"/>
        <v>741.75098171855927</v>
      </c>
      <c r="DQ36" s="3">
        <f t="shared" si="38"/>
        <v>734.33347190137363</v>
      </c>
      <c r="DR36" s="3">
        <f t="shared" si="38"/>
        <v>726.99013718235983</v>
      </c>
      <c r="DS36" s="3">
        <f t="shared" si="38"/>
        <v>719.72023581053622</v>
      </c>
      <c r="DT36" s="3">
        <f t="shared" si="38"/>
        <v>712.52303345243081</v>
      </c>
      <c r="DU36" s="3">
        <f t="shared" si="38"/>
        <v>705.39780311790651</v>
      </c>
      <c r="DV36" s="3">
        <f t="shared" si="38"/>
        <v>698.34382508672741</v>
      </c>
      <c r="DW36" s="3">
        <f t="shared" si="38"/>
        <v>691.36038683586014</v>
      </c>
      <c r="DX36" s="3">
        <f t="shared" si="38"/>
        <v>684.44678296750158</v>
      </c>
      <c r="DY36" s="3">
        <f t="shared" si="38"/>
        <v>677.60231513782651</v>
      </c>
      <c r="DZ36" s="3">
        <f t="shared" si="38"/>
        <v>670.82629198644827</v>
      </c>
      <c r="EA36" s="3">
        <f t="shared" si="38"/>
        <v>664.11802906658374</v>
      </c>
      <c r="EB36" s="3">
        <f t="shared" si="38"/>
        <v>657.47684877591792</v>
      </c>
      <c r="EC36" s="3">
        <f t="shared" si="38"/>
        <v>650.90208028815869</v>
      </c>
      <c r="ED36" s="3">
        <f t="shared" si="38"/>
        <v>644.39305948527715</v>
      </c>
      <c r="EE36" s="3">
        <f t="shared" si="38"/>
        <v>637.94912889042439</v>
      </c>
      <c r="EF36" s="3">
        <f t="shared" si="38"/>
        <v>631.56963760152018</v>
      </c>
      <c r="EG36" s="3">
        <f t="shared" si="38"/>
        <v>625.25394122550495</v>
      </c>
      <c r="EH36" s="3">
        <f t="shared" si="38"/>
        <v>619.00140181324991</v>
      </c>
    </row>
    <row r="37" spans="2:138" x14ac:dyDescent="0.3">
      <c r="B37" s="1" t="s">
        <v>2</v>
      </c>
      <c r="C37" s="6"/>
      <c r="G37" s="6">
        <f t="shared" ref="G37:O37" si="39">49.9</f>
        <v>49.9</v>
      </c>
      <c r="H37" s="6">
        <f t="shared" si="39"/>
        <v>49.9</v>
      </c>
      <c r="I37" s="6">
        <f t="shared" si="39"/>
        <v>49.9</v>
      </c>
      <c r="J37" s="6">
        <f t="shared" si="39"/>
        <v>49.9</v>
      </c>
      <c r="K37" s="6">
        <f t="shared" si="39"/>
        <v>49.9</v>
      </c>
      <c r="L37" s="6">
        <f t="shared" si="39"/>
        <v>49.9</v>
      </c>
      <c r="M37" s="6">
        <f t="shared" si="39"/>
        <v>49.9</v>
      </c>
      <c r="N37" s="6">
        <f t="shared" si="39"/>
        <v>49.9</v>
      </c>
      <c r="O37" s="6">
        <f t="shared" si="39"/>
        <v>49.9</v>
      </c>
      <c r="P37" s="6">
        <f t="shared" ref="P37:R37" si="40">49.9</f>
        <v>49.9</v>
      </c>
      <c r="Q37" s="6">
        <f t="shared" si="40"/>
        <v>49.9</v>
      </c>
      <c r="R37" s="6">
        <f t="shared" si="40"/>
        <v>49.9</v>
      </c>
      <c r="U37" s="6">
        <f>49.9</f>
        <v>49.9</v>
      </c>
      <c r="V37" s="6">
        <f>49.9</f>
        <v>49.9</v>
      </c>
      <c r="W37" s="6">
        <f>49.9</f>
        <v>49.9</v>
      </c>
      <c r="X37" s="6">
        <f>49.9</f>
        <v>49.9</v>
      </c>
      <c r="Y37" s="6">
        <f>49.9</f>
        <v>49.9</v>
      </c>
      <c r="Z37" s="6">
        <f t="shared" ref="Z37:AH37" si="41">49.9</f>
        <v>49.9</v>
      </c>
      <c r="AA37" s="6">
        <f t="shared" si="41"/>
        <v>49.9</v>
      </c>
      <c r="AB37" s="6">
        <f t="shared" si="41"/>
        <v>49.9</v>
      </c>
      <c r="AC37" s="6">
        <f t="shared" si="41"/>
        <v>49.9</v>
      </c>
      <c r="AD37" s="6">
        <f t="shared" si="41"/>
        <v>49.9</v>
      </c>
      <c r="AE37" s="6">
        <f t="shared" si="41"/>
        <v>49.9</v>
      </c>
      <c r="AF37" s="6">
        <f t="shared" si="41"/>
        <v>49.9</v>
      </c>
      <c r="AG37" s="6">
        <f t="shared" si="41"/>
        <v>49.9</v>
      </c>
      <c r="AH37" s="6">
        <f t="shared" si="41"/>
        <v>49.9</v>
      </c>
    </row>
    <row r="38" spans="2:138" x14ac:dyDescent="0.3">
      <c r="B38" s="1" t="s">
        <v>39</v>
      </c>
      <c r="C38" s="15"/>
      <c r="G38" s="15">
        <f t="shared" ref="G38:O38" si="42">G36/G37</f>
        <v>0.44088176352705422</v>
      </c>
      <c r="H38" s="15">
        <f t="shared" si="42"/>
        <v>0.35871743486973962</v>
      </c>
      <c r="I38" s="15">
        <f t="shared" si="42"/>
        <v>0.27855711422845691</v>
      </c>
      <c r="J38" s="15">
        <f t="shared" si="42"/>
        <v>0.11623246492985947</v>
      </c>
      <c r="K38" s="15">
        <f t="shared" si="42"/>
        <v>0.42685370741482975</v>
      </c>
      <c r="L38" s="15">
        <f t="shared" si="42"/>
        <v>0.14829659318637251</v>
      </c>
      <c r="M38" s="15">
        <f t="shared" si="42"/>
        <v>-3.2064128256512746E-2</v>
      </c>
      <c r="N38" s="15">
        <f t="shared" si="42"/>
        <v>0.33066132264529202</v>
      </c>
      <c r="O38" s="15">
        <f t="shared" si="42"/>
        <v>-1.3507014028056115</v>
      </c>
      <c r="P38" s="15">
        <f t="shared" ref="P38:R38" si="43">P36/P37</f>
        <v>-0.34068136272545041</v>
      </c>
      <c r="Q38" s="15">
        <f t="shared" si="43"/>
        <v>-1.5638156312625251</v>
      </c>
      <c r="R38" s="15">
        <f t="shared" si="43"/>
        <v>-1.3475911823647284</v>
      </c>
      <c r="U38" s="15">
        <f>U36/U37</f>
        <v>-3.529058116232465</v>
      </c>
      <c r="V38" s="15">
        <f>V36/V37</f>
        <v>1.1943887775551096</v>
      </c>
      <c r="W38" s="15">
        <f>W36/W37</f>
        <v>0.87374749498998061</v>
      </c>
      <c r="X38" s="15">
        <f>X36/X37</f>
        <v>-4.6027895791583182</v>
      </c>
      <c r="Y38" s="15">
        <f>Y36/Y37</f>
        <v>-5.4505338677354658</v>
      </c>
      <c r="Z38" s="15">
        <f t="shared" ref="Z38:AH38" si="44">Z36/Z37</f>
        <v>-0.3328653306613033</v>
      </c>
      <c r="AA38" s="15">
        <f t="shared" si="44"/>
        <v>6.0933300641282644</v>
      </c>
      <c r="AB38" s="15">
        <f t="shared" si="44"/>
        <v>13.020799635511018</v>
      </c>
      <c r="AC38" s="15">
        <f t="shared" si="44"/>
        <v>19.119203048809226</v>
      </c>
      <c r="AD38" s="15">
        <f t="shared" si="44"/>
        <v>24.568770724998142</v>
      </c>
      <c r="AE38" s="15">
        <f t="shared" si="44"/>
        <v>28.660230827471118</v>
      </c>
      <c r="AF38" s="15">
        <f t="shared" si="44"/>
        <v>30.745608891619604</v>
      </c>
      <c r="AG38" s="15">
        <f t="shared" si="44"/>
        <v>32.950130026961638</v>
      </c>
      <c r="AH38" s="15">
        <f t="shared" si="44"/>
        <v>35.280184592212436</v>
      </c>
    </row>
    <row r="40" spans="2:138" x14ac:dyDescent="0.3">
      <c r="B40" s="1" t="s">
        <v>54</v>
      </c>
      <c r="O40" s="16">
        <f>O16/K16-1</f>
        <v>0.5055408970976254</v>
      </c>
      <c r="P40" s="16">
        <f>P16/L16-1</f>
        <v>0.60000000000000009</v>
      </c>
    </row>
    <row r="41" spans="2:138" x14ac:dyDescent="0.3">
      <c r="B41" s="1" t="s">
        <v>55</v>
      </c>
      <c r="O41" s="16"/>
    </row>
    <row r="42" spans="2:138" x14ac:dyDescent="0.3">
      <c r="B42" s="1" t="s">
        <v>56</v>
      </c>
      <c r="G42" s="16"/>
      <c r="H42" s="16"/>
      <c r="I42" s="16"/>
      <c r="J42" s="16"/>
      <c r="K42" s="16">
        <f t="shared" ref="K42:N42" si="45">K22/G22-1</f>
        <v>0.24343832020997369</v>
      </c>
      <c r="L42" s="16">
        <f t="shared" si="45"/>
        <v>4.2035398230088283E-2</v>
      </c>
      <c r="M42" s="16">
        <f t="shared" si="45"/>
        <v>-0.10128617363344039</v>
      </c>
      <c r="N42" s="16">
        <f t="shared" si="45"/>
        <v>0.39664804469273807</v>
      </c>
      <c r="O42" s="16">
        <f>O22/K22-1</f>
        <v>1.3989445910290237</v>
      </c>
      <c r="P42" s="16">
        <f t="shared" ref="P42:R42" si="46">P22/L22-1</f>
        <v>1.5079617834394909</v>
      </c>
      <c r="Q42" s="16">
        <f t="shared" si="46"/>
        <v>1.7880739415623137</v>
      </c>
      <c r="R42" s="16">
        <f t="shared" si="46"/>
        <v>1.1000727272727273</v>
      </c>
      <c r="U42" s="16"/>
      <c r="V42" s="16">
        <f>V22/U22-1</f>
        <v>0.32574916759156469</v>
      </c>
      <c r="W42" s="16">
        <f>W22/V22-1</f>
        <v>0.14497000139528415</v>
      </c>
      <c r="X42" s="16">
        <f>X22/W22-1</f>
        <v>1.403339020229101</v>
      </c>
      <c r="Y42" s="16">
        <f t="shared" ref="Y42:AH42" si="47">Y22/X22-1</f>
        <v>0.48952732509203045</v>
      </c>
      <c r="Z42" s="16">
        <f t="shared" si="47"/>
        <v>0.39728456680519164</v>
      </c>
      <c r="AA42" s="16">
        <f t="shared" si="47"/>
        <v>0.33996622274715049</v>
      </c>
      <c r="AB42" s="16">
        <f t="shared" si="47"/>
        <v>0.26639815827049174</v>
      </c>
      <c r="AC42" s="16">
        <f t="shared" si="47"/>
        <v>0.18328396156347804</v>
      </c>
      <c r="AD42" s="16">
        <f t="shared" si="47"/>
        <v>0.14011122664917686</v>
      </c>
      <c r="AE42" s="16">
        <f t="shared" si="47"/>
        <v>9.5446403922851974E-2</v>
      </c>
      <c r="AF42" s="16">
        <f t="shared" si="47"/>
        <v>4.9999999999999822E-2</v>
      </c>
      <c r="AG42" s="16">
        <f t="shared" si="47"/>
        <v>5.0000000000000266E-2</v>
      </c>
      <c r="AH42" s="16">
        <f t="shared" si="47"/>
        <v>5.0000000000000044E-2</v>
      </c>
    </row>
    <row r="43" spans="2:138" x14ac:dyDescent="0.3">
      <c r="B43" s="1" t="s">
        <v>67</v>
      </c>
      <c r="G43" s="16">
        <f t="shared" ref="G43:N44" si="48">(G20-G23)/G20</f>
        <v>0.48451882845188282</v>
      </c>
      <c r="H43" s="16">
        <f t="shared" si="48"/>
        <v>0.45816186556927302</v>
      </c>
      <c r="I43" s="16">
        <f t="shared" si="48"/>
        <v>0.36177036561898657</v>
      </c>
      <c r="J43" s="16">
        <f t="shared" si="48"/>
        <v>0.39185905224787354</v>
      </c>
      <c r="K43" s="16">
        <f t="shared" si="48"/>
        <v>0.46394984326018807</v>
      </c>
      <c r="L43" s="16">
        <f t="shared" si="48"/>
        <v>0.42394179894179895</v>
      </c>
      <c r="M43" s="16">
        <f t="shared" si="48"/>
        <v>0.42060085836909877</v>
      </c>
      <c r="N43" s="16">
        <f t="shared" si="48"/>
        <v>0.37778695293146181</v>
      </c>
      <c r="O43" s="16">
        <f>(O20-O23)/O20</f>
        <v>0.26411483253588519</v>
      </c>
      <c r="P43" s="16">
        <f t="shared" ref="P43:R43" si="49">(P20-P23)/P20</f>
        <v>0.25723076923076921</v>
      </c>
      <c r="Q43" s="16">
        <f t="shared" si="49"/>
        <v>0.26</v>
      </c>
      <c r="R43" s="16">
        <f t="shared" si="49"/>
        <v>0.26</v>
      </c>
      <c r="U43" s="16">
        <f t="shared" ref="U43:X43" si="50">(U20-U23)/U20</f>
        <v>0.42395921835174172</v>
      </c>
      <c r="V43" s="16">
        <f t="shared" si="50"/>
        <v>0.4192557186753158</v>
      </c>
      <c r="W43" s="16">
        <f t="shared" si="50"/>
        <v>0.41634185072903135</v>
      </c>
      <c r="X43" s="16">
        <f t="shared" si="50"/>
        <v>0.26029244589750899</v>
      </c>
      <c r="Y43" s="16">
        <f t="shared" ref="Y43:AH43" si="51">(Y20-Y23)/Y20</f>
        <v>0.26</v>
      </c>
      <c r="Z43" s="16">
        <f t="shared" si="51"/>
        <v>0.26000000000000006</v>
      </c>
      <c r="AA43" s="16">
        <f t="shared" si="51"/>
        <v>0.26000000000000006</v>
      </c>
      <c r="AB43" s="16">
        <f t="shared" si="51"/>
        <v>0.26</v>
      </c>
      <c r="AC43" s="16">
        <f t="shared" si="51"/>
        <v>0.26000000000000006</v>
      </c>
      <c r="AD43" s="16">
        <f t="shared" si="51"/>
        <v>0.26</v>
      </c>
      <c r="AE43" s="16">
        <f t="shared" si="51"/>
        <v>0.25999999999999995</v>
      </c>
      <c r="AF43" s="16">
        <f t="shared" si="51"/>
        <v>0.26000000000000006</v>
      </c>
      <c r="AG43" s="16">
        <f t="shared" si="51"/>
        <v>0.26</v>
      </c>
      <c r="AH43" s="16">
        <f t="shared" si="51"/>
        <v>0.26</v>
      </c>
      <c r="AJ43" s="1" t="s">
        <v>69</v>
      </c>
      <c r="AK43" s="16">
        <v>-0.01</v>
      </c>
    </row>
    <row r="44" spans="2:138" x14ac:dyDescent="0.3">
      <c r="B44" s="1" t="s">
        <v>68</v>
      </c>
      <c r="G44" s="16">
        <f t="shared" si="48"/>
        <v>0.23708206686930083</v>
      </c>
      <c r="H44" s="16">
        <f t="shared" si="48"/>
        <v>0.24571428571428575</v>
      </c>
      <c r="I44" s="16">
        <f t="shared" si="48"/>
        <v>0.35504885993485336</v>
      </c>
      <c r="J44" s="16">
        <f t="shared" si="48"/>
        <v>0.34055727554179582</v>
      </c>
      <c r="K44" s="16">
        <f t="shared" si="48"/>
        <v>0.25</v>
      </c>
      <c r="L44" s="16">
        <f t="shared" si="48"/>
        <v>0.25268817204301081</v>
      </c>
      <c r="M44" s="16">
        <f t="shared" si="48"/>
        <v>0.16129032258064516</v>
      </c>
      <c r="N44" s="16">
        <f t="shared" si="48"/>
        <v>0.27134146341463433</v>
      </c>
      <c r="O44" s="16">
        <f t="shared" ref="O44:R44" si="52">(O21-O24)/O21</f>
        <v>8.6463501063075751E-2</v>
      </c>
      <c r="P44" s="16">
        <f t="shared" si="52"/>
        <v>0.13898305084745763</v>
      </c>
      <c r="Q44" s="16">
        <f t="shared" si="52"/>
        <v>0.1</v>
      </c>
      <c r="R44" s="16">
        <f t="shared" si="52"/>
        <v>0.1</v>
      </c>
      <c r="U44" s="16">
        <f t="shared" ref="U44:X44" si="53">(U21-U24)/U21</f>
        <v>0.1274666666666667</v>
      </c>
      <c r="V44" s="16">
        <f t="shared" si="53"/>
        <v>0.29258976317799856</v>
      </c>
      <c r="W44" s="16">
        <f t="shared" si="53"/>
        <v>0.23690383111806107</v>
      </c>
      <c r="X44" s="16">
        <f t="shared" si="53"/>
        <v>0.10601315377388043</v>
      </c>
      <c r="Y44" s="16">
        <f t="shared" ref="Y44:AH44" si="54">(Y21-Y24)/Y21</f>
        <v>9.9999999999999978E-2</v>
      </c>
      <c r="Z44" s="16">
        <f t="shared" si="54"/>
        <v>0.10000000000000003</v>
      </c>
      <c r="AA44" s="16">
        <f t="shared" si="54"/>
        <v>0.10000000000000003</v>
      </c>
      <c r="AB44" s="16">
        <f t="shared" si="54"/>
        <v>9.999999999999995E-2</v>
      </c>
      <c r="AC44" s="16">
        <f t="shared" si="54"/>
        <v>9.9999999999999936E-2</v>
      </c>
      <c r="AD44" s="16">
        <f t="shared" si="54"/>
        <v>9.9999999999999964E-2</v>
      </c>
      <c r="AE44" s="16">
        <f t="shared" si="54"/>
        <v>9.9999999999999936E-2</v>
      </c>
      <c r="AF44" s="16">
        <f t="shared" si="54"/>
        <v>0.1</v>
      </c>
      <c r="AG44" s="16">
        <f t="shared" si="54"/>
        <v>9.9999999999999936E-2</v>
      </c>
      <c r="AH44" s="16">
        <f t="shared" si="54"/>
        <v>9.9999999999999978E-2</v>
      </c>
      <c r="AJ44" s="1" t="s">
        <v>70</v>
      </c>
      <c r="AK44" s="16">
        <v>0.09</v>
      </c>
    </row>
    <row r="45" spans="2:138" x14ac:dyDescent="0.3">
      <c r="B45" s="1" t="s">
        <v>57</v>
      </c>
      <c r="G45" s="16">
        <f t="shared" ref="G45:N45" si="55">G26/G22</f>
        <v>0.43110236220472442</v>
      </c>
      <c r="H45" s="16">
        <f t="shared" si="55"/>
        <v>0.41703539823008851</v>
      </c>
      <c r="I45" s="16">
        <f t="shared" si="55"/>
        <v>0.36066452304394425</v>
      </c>
      <c r="J45" s="16">
        <f t="shared" si="55"/>
        <v>0.38344337227018788</v>
      </c>
      <c r="K45" s="16">
        <f t="shared" si="55"/>
        <v>0.43007915567282323</v>
      </c>
      <c r="L45" s="16">
        <f t="shared" si="55"/>
        <v>0.39012738853503182</v>
      </c>
      <c r="M45" s="16">
        <f t="shared" si="55"/>
        <v>0.37745974955277284</v>
      </c>
      <c r="N45" s="16">
        <f t="shared" si="55"/>
        <v>0.36509090909090924</v>
      </c>
      <c r="O45" s="16">
        <f>O26/O22</f>
        <v>0.20897492300923889</v>
      </c>
      <c r="P45" s="16">
        <f t="shared" ref="P45:R45" si="56">P26/P22</f>
        <v>0.22031746031746036</v>
      </c>
      <c r="Q45" s="16">
        <f t="shared" si="56"/>
        <v>0.2052476687483959</v>
      </c>
      <c r="R45" s="16">
        <f t="shared" si="56"/>
        <v>0.20736113035046408</v>
      </c>
      <c r="U45" s="16">
        <f>U26/U22</f>
        <v>0.32112467628560859</v>
      </c>
      <c r="V45" s="16">
        <f>V26/V22</f>
        <v>0.39612111064601646</v>
      </c>
      <c r="W45" s="16">
        <f>W26/W22</f>
        <v>0.38837436022422622</v>
      </c>
      <c r="X45" s="16">
        <f>X26/X22</f>
        <v>0.21033617621109629</v>
      </c>
      <c r="Y45" s="16">
        <f t="shared" ref="Y45:AH45" si="57">Y26/Y22</f>
        <v>0.22347895708629043</v>
      </c>
      <c r="Z45" s="16">
        <f t="shared" si="57"/>
        <v>0.23255598754155482</v>
      </c>
      <c r="AA45" s="16">
        <f t="shared" si="57"/>
        <v>0.23849482129311472</v>
      </c>
      <c r="AB45" s="16">
        <f t="shared" si="57"/>
        <v>0.24216955900104312</v>
      </c>
      <c r="AC45" s="16">
        <f t="shared" si="57"/>
        <v>0.24417796263868291</v>
      </c>
      <c r="AD45" s="16">
        <f t="shared" si="57"/>
        <v>0.24542849255312615</v>
      </c>
      <c r="AE45" s="16">
        <f t="shared" si="57"/>
        <v>0.24603301561406643</v>
      </c>
      <c r="AF45" s="16">
        <f t="shared" si="57"/>
        <v>0.24603301561406643</v>
      </c>
      <c r="AG45" s="16">
        <f t="shared" si="57"/>
        <v>0.24603301561406649</v>
      </c>
      <c r="AH45" s="16">
        <f t="shared" si="57"/>
        <v>0.24603301561406637</v>
      </c>
      <c r="AJ45" s="1" t="s">
        <v>71</v>
      </c>
      <c r="AK45" s="6">
        <f>NPV(AK44,X36:EH36)</f>
        <v>10979.570366431712</v>
      </c>
    </row>
    <row r="46" spans="2:138" x14ac:dyDescent="0.3">
      <c r="B46" s="1" t="s">
        <v>58</v>
      </c>
      <c r="G46" s="16"/>
      <c r="H46" s="16"/>
      <c r="I46" s="16"/>
      <c r="J46" s="16"/>
      <c r="K46" s="16">
        <f>K27/G27-1</f>
        <v>0.4201680672268906</v>
      </c>
      <c r="L46" s="16">
        <f>L27/H27-1</f>
        <v>0.3487544483985765</v>
      </c>
      <c r="M46" s="16">
        <f>M27/I27-1</f>
        <v>0.57553956834532349</v>
      </c>
      <c r="N46" s="16">
        <f>N27/J27-1</f>
        <v>0.24783861671469798</v>
      </c>
      <c r="O46" s="16">
        <f>O27/K27-1</f>
        <v>2.8846153846153855</v>
      </c>
      <c r="P46" s="16">
        <f t="shared" ref="P46:R46" si="58">P27/L27-1</f>
        <v>1.5936675461741423</v>
      </c>
      <c r="Q46" s="16">
        <f t="shared" si="58"/>
        <v>2.1963470319634704</v>
      </c>
      <c r="R46" s="16">
        <f t="shared" si="58"/>
        <v>2.4642032332563488</v>
      </c>
      <c r="U46" s="16"/>
      <c r="V46" s="16">
        <f>V27/U27-1</f>
        <v>-0.13267626990144044</v>
      </c>
      <c r="W46" s="16">
        <f>W27/V27-1</f>
        <v>0.38811188811188813</v>
      </c>
      <c r="X46" s="16">
        <f>X27/W27-1</f>
        <v>2.2720403022670026</v>
      </c>
      <c r="Y46" s="16">
        <f t="shared" ref="Y46:AH46" si="59">Y27/X27-1</f>
        <v>0.5</v>
      </c>
      <c r="Z46" s="16">
        <f t="shared" si="59"/>
        <v>5.0000000000000044E-2</v>
      </c>
      <c r="AA46" s="16">
        <f t="shared" si="59"/>
        <v>4.0000000000000036E-2</v>
      </c>
      <c r="AB46" s="16">
        <f t="shared" si="59"/>
        <v>3.0000000000000027E-2</v>
      </c>
      <c r="AC46" s="16">
        <f t="shared" si="59"/>
        <v>2.0000000000000018E-2</v>
      </c>
      <c r="AD46" s="16">
        <f t="shared" si="59"/>
        <v>2.0000000000000018E-2</v>
      </c>
      <c r="AE46" s="16">
        <f t="shared" si="59"/>
        <v>2.0000000000000018E-2</v>
      </c>
      <c r="AF46" s="16">
        <f t="shared" si="59"/>
        <v>2.0000000000000018E-2</v>
      </c>
      <c r="AG46" s="16">
        <f t="shared" si="59"/>
        <v>2.0000000000000018E-2</v>
      </c>
      <c r="AH46" s="16">
        <f t="shared" si="59"/>
        <v>2.0000000000000018E-2</v>
      </c>
      <c r="AJ46" s="1" t="s">
        <v>72</v>
      </c>
      <c r="AK46" s="6">
        <f>Main!D8</f>
        <v>-57.399999999999977</v>
      </c>
    </row>
    <row r="47" spans="2:138" x14ac:dyDescent="0.3">
      <c r="B47" s="1" t="s">
        <v>59</v>
      </c>
      <c r="G47" s="16">
        <f t="shared" ref="G47:N47" si="60">G27/G22</f>
        <v>0.15616797900262466</v>
      </c>
      <c r="H47" s="16">
        <f t="shared" si="60"/>
        <v>0.15542035398230089</v>
      </c>
      <c r="I47" s="16">
        <f t="shared" si="60"/>
        <v>0.14898177920685959</v>
      </c>
      <c r="J47" s="16">
        <f t="shared" si="60"/>
        <v>0.17623158963941091</v>
      </c>
      <c r="K47" s="16">
        <f t="shared" si="60"/>
        <v>0.17836411609498679</v>
      </c>
      <c r="L47" s="16">
        <f t="shared" si="60"/>
        <v>0.20116772823779194</v>
      </c>
      <c r="M47" s="16">
        <f t="shared" si="60"/>
        <v>0.26118067978533088</v>
      </c>
      <c r="N47" s="16">
        <f t="shared" si="60"/>
        <v>0.15745454545454549</v>
      </c>
      <c r="O47" s="16">
        <f>O27/O22</f>
        <v>0.28882534095908491</v>
      </c>
      <c r="P47" s="16">
        <f t="shared" ref="P47:R47" si="61">P27/P22</f>
        <v>0.20804232804232803</v>
      </c>
      <c r="Q47" s="16">
        <f t="shared" si="61"/>
        <v>0.29942681153220974</v>
      </c>
      <c r="R47" s="16">
        <f t="shared" si="61"/>
        <v>0.25973126471810493</v>
      </c>
      <c r="U47" s="16">
        <f>U27/U22</f>
        <v>0.24398816130225676</v>
      </c>
      <c r="V47" s="16">
        <f>V27/V22</f>
        <v>0.15962048276824337</v>
      </c>
      <c r="W47" s="16">
        <f>W27/W22</f>
        <v>0.19351693882524981</v>
      </c>
      <c r="X47" s="16">
        <f>X27/X22</f>
        <v>0.26346479530265998</v>
      </c>
      <c r="Y47" s="16">
        <f t="shared" ref="Y47:AH47" si="62">Y27/Y22</f>
        <v>0.26531718236828772</v>
      </c>
      <c r="Z47" s="16">
        <f t="shared" si="62"/>
        <v>0.19937459276721683</v>
      </c>
      <c r="AA47" s="16">
        <f t="shared" si="62"/>
        <v>0.15474239048563843</v>
      </c>
      <c r="AB47" s="16">
        <f t="shared" si="62"/>
        <v>0.12585667561130834</v>
      </c>
      <c r="AC47" s="16">
        <f t="shared" si="62"/>
        <v>0.10848943558223648</v>
      </c>
      <c r="AD47" s="16">
        <f t="shared" si="62"/>
        <v>9.70600251162443E-2</v>
      </c>
      <c r="AE47" s="16">
        <f t="shared" si="62"/>
        <v>9.0375234483440287E-2</v>
      </c>
      <c r="AF47" s="16">
        <f t="shared" si="62"/>
        <v>8.779308492677057E-2</v>
      </c>
      <c r="AG47" s="16">
        <f t="shared" si="62"/>
        <v>8.5284711071719976E-2</v>
      </c>
      <c r="AH47" s="16">
        <f t="shared" si="62"/>
        <v>8.2848005041099404E-2</v>
      </c>
      <c r="AJ47" s="1" t="s">
        <v>73</v>
      </c>
      <c r="AK47" s="6">
        <f>AK45+AK46</f>
        <v>10922.170366431712</v>
      </c>
    </row>
    <row r="48" spans="2:138" x14ac:dyDescent="0.3">
      <c r="B48" s="1" t="s">
        <v>60</v>
      </c>
      <c r="G48" s="16"/>
      <c r="H48" s="16"/>
      <c r="I48" s="16"/>
      <c r="J48" s="16"/>
      <c r="K48" s="16">
        <f>K28/G28-1</f>
        <v>0.58709677419354844</v>
      </c>
      <c r="L48" s="16">
        <f>L28/H28-1</f>
        <v>0.30454545454545445</v>
      </c>
      <c r="M48" s="16">
        <f>M28/I28-1</f>
        <v>-0.10358565737051795</v>
      </c>
      <c r="N48" s="16">
        <f>N28/J28-1</f>
        <v>-0.29059829059829057</v>
      </c>
      <c r="O48" s="16">
        <f>O28/K28-1</f>
        <v>0.34552845528455278</v>
      </c>
      <c r="P48" s="16">
        <f t="shared" ref="P48:R48" si="63">P28/L28-1</f>
        <v>0.25435540069686424</v>
      </c>
      <c r="Q48" s="16">
        <f t="shared" si="63"/>
        <v>0.42222222222222228</v>
      </c>
      <c r="R48" s="16">
        <f t="shared" si="63"/>
        <v>0.40562248995983952</v>
      </c>
      <c r="U48" s="16"/>
      <c r="V48" s="16">
        <f>V28/U28-1</f>
        <v>0.51944012441679632</v>
      </c>
      <c r="W48" s="16">
        <f>W28/V28-1</f>
        <v>3.0706243602866001E-2</v>
      </c>
      <c r="X48" s="16">
        <f>X28/W28-1</f>
        <v>0.35153922542204552</v>
      </c>
      <c r="Y48" s="16">
        <f t="shared" ref="Y48:AH48" si="64">Y28/X28-1</f>
        <v>3.0000000000000027E-2</v>
      </c>
      <c r="Z48" s="16">
        <f t="shared" si="64"/>
        <v>3.0000000000000027E-2</v>
      </c>
      <c r="AA48" s="16">
        <f t="shared" si="64"/>
        <v>3.0000000000000027E-2</v>
      </c>
      <c r="AB48" s="16">
        <f t="shared" si="64"/>
        <v>3.0000000000000027E-2</v>
      </c>
      <c r="AC48" s="16">
        <f t="shared" si="64"/>
        <v>3.0000000000000027E-2</v>
      </c>
      <c r="AD48" s="16">
        <f t="shared" si="64"/>
        <v>3.0000000000000027E-2</v>
      </c>
      <c r="AE48" s="16">
        <f t="shared" si="64"/>
        <v>3.0000000000000027E-2</v>
      </c>
      <c r="AF48" s="16">
        <f t="shared" si="64"/>
        <v>3.0000000000000027E-2</v>
      </c>
      <c r="AG48" s="16">
        <f t="shared" si="64"/>
        <v>3.0000000000000027E-2</v>
      </c>
      <c r="AH48" s="16">
        <f t="shared" si="64"/>
        <v>3.0000000000000027E-2</v>
      </c>
      <c r="AJ48" s="1" t="s">
        <v>74</v>
      </c>
      <c r="AK48" s="4">
        <f>AK47/AH37</f>
        <v>218.8811696679702</v>
      </c>
    </row>
    <row r="49" spans="2:37" x14ac:dyDescent="0.3">
      <c r="B49" s="1" t="s">
        <v>61</v>
      </c>
      <c r="G49" s="16">
        <f t="shared" ref="G49:N49" si="65">G30/G22</f>
        <v>0.17322834645669294</v>
      </c>
      <c r="H49" s="16">
        <f t="shared" si="65"/>
        <v>0.13993362831858408</v>
      </c>
      <c r="I49" s="16">
        <f t="shared" si="65"/>
        <v>7.717041800643086E-2</v>
      </c>
      <c r="J49" s="16">
        <f t="shared" si="65"/>
        <v>2.8948704926358503E-2</v>
      </c>
      <c r="K49" s="16">
        <f t="shared" si="65"/>
        <v>0.12189973614775726</v>
      </c>
      <c r="L49" s="16">
        <f t="shared" si="65"/>
        <v>3.6624203821655994E-2</v>
      </c>
      <c r="M49" s="16">
        <f t="shared" si="65"/>
        <v>-1.7889087656529429E-2</v>
      </c>
      <c r="N49" s="16">
        <f t="shared" si="65"/>
        <v>5.0181818181818411E-2</v>
      </c>
      <c r="O49" s="16">
        <f>O30/O22</f>
        <v>-0.15266168059832821</v>
      </c>
      <c r="P49" s="16">
        <f t="shared" ref="P49:R49" si="66">P30/P22</f>
        <v>-6.3915343915343856E-2</v>
      </c>
      <c r="Q49" s="16">
        <f t="shared" si="66"/>
        <v>-0.16261955684831891</v>
      </c>
      <c r="R49" s="16">
        <f t="shared" si="66"/>
        <v>-0.11297409613519864</v>
      </c>
      <c r="U49" s="16">
        <f>U30/U22</f>
        <v>-0.33037365889752118</v>
      </c>
      <c r="V49" s="16">
        <f>V30/V22</f>
        <v>0.1001813869122366</v>
      </c>
      <c r="W49" s="16">
        <f>W30/W22</f>
        <v>4.9719717280039037E-2</v>
      </c>
      <c r="X49" s="16">
        <f>X30/X22</f>
        <v>-0.12213854719143284</v>
      </c>
      <c r="Y49" s="16">
        <f t="shared" ref="Y49:AH49" si="67">Y30/Y22</f>
        <v>-8.9558213190559843E-2</v>
      </c>
      <c r="Z49" s="16">
        <f t="shared" si="67"/>
        <v>-1.9951102222080189E-3</v>
      </c>
      <c r="AA49" s="16">
        <f t="shared" si="67"/>
        <v>5.6713092403735593E-2</v>
      </c>
      <c r="AB49" s="16">
        <f t="shared" si="67"/>
        <v>9.4320970045602845E-2</v>
      </c>
      <c r="AC49" s="16">
        <f t="shared" si="67"/>
        <v>0.11654547139081725</v>
      </c>
      <c r="AD49" s="16">
        <f t="shared" si="67"/>
        <v>0.13107423607180008</v>
      </c>
      <c r="AE49" s="16">
        <f t="shared" si="67"/>
        <v>0.13939677717621565</v>
      </c>
      <c r="AF49" s="16">
        <f t="shared" si="67"/>
        <v>0.14228866014154082</v>
      </c>
      <c r="AG49" s="16">
        <f t="shared" si="67"/>
        <v>0.14510086772127251</v>
      </c>
      <c r="AH49" s="16">
        <f t="shared" si="67"/>
        <v>0.14783562016753249</v>
      </c>
      <c r="AJ49" s="1" t="s">
        <v>75</v>
      </c>
      <c r="AK49" s="4">
        <f>Main!D3</f>
        <v>312.12</v>
      </c>
    </row>
    <row r="50" spans="2:37" x14ac:dyDescent="0.3">
      <c r="B50" s="1" t="s">
        <v>36</v>
      </c>
      <c r="G50" s="16">
        <f t="shared" ref="G50:N50" si="68">G34/G33</f>
        <v>5.5793991416309002E-2</v>
      </c>
      <c r="H50" s="16">
        <f t="shared" si="68"/>
        <v>5.3921568627450969E-2</v>
      </c>
      <c r="I50" s="16">
        <f t="shared" si="68"/>
        <v>8.4967320261437912E-2</v>
      </c>
      <c r="J50" s="16">
        <f t="shared" si="68"/>
        <v>-0.42857142857142988</v>
      </c>
      <c r="K50" s="16">
        <f t="shared" si="68"/>
        <v>6.6079295154185008E-2</v>
      </c>
      <c r="L50" s="16">
        <f t="shared" si="68"/>
        <v>-3.2258064516129101E-2</v>
      </c>
      <c r="M50" s="16">
        <f t="shared" si="68"/>
        <v>0.27272727272727448</v>
      </c>
      <c r="N50" s="16">
        <f t="shared" si="68"/>
        <v>1.5384615384615299E-2</v>
      </c>
      <c r="O50" s="16">
        <f>O34/O33</f>
        <v>0.18009478672985779</v>
      </c>
      <c r="P50" s="16">
        <f t="shared" ref="P50:R50" si="69">P34/P33</f>
        <v>0.11219512195121964</v>
      </c>
      <c r="Q50" s="16">
        <f t="shared" si="69"/>
        <v>0</v>
      </c>
      <c r="R50" s="16">
        <f t="shared" si="69"/>
        <v>0</v>
      </c>
      <c r="U50" s="16">
        <f>U34/U33</f>
        <v>7.8066914498141265E-2</v>
      </c>
      <c r="V50" s="16">
        <f>V34/V33</f>
        <v>3.0063291139240521E-2</v>
      </c>
      <c r="W50" s="16">
        <f>W34/W33</f>
        <v>2.2670025188916858E-2</v>
      </c>
      <c r="X50" s="16">
        <f>X34/X33</f>
        <v>6.994985994039471E-2</v>
      </c>
      <c r="Y50" s="16">
        <f t="shared" ref="Y50:AH50" si="70">Y34/Y33</f>
        <v>0</v>
      </c>
      <c r="Z50" s="16">
        <f t="shared" si="70"/>
        <v>0</v>
      </c>
      <c r="AA50" s="16">
        <f t="shared" si="70"/>
        <v>0</v>
      </c>
      <c r="AB50" s="16">
        <f t="shared" si="70"/>
        <v>0</v>
      </c>
      <c r="AC50" s="16">
        <f t="shared" si="70"/>
        <v>0</v>
      </c>
      <c r="AD50" s="16">
        <f t="shared" si="70"/>
        <v>0</v>
      </c>
      <c r="AE50" s="16">
        <f t="shared" si="70"/>
        <v>0</v>
      </c>
      <c r="AF50" s="16">
        <f t="shared" si="70"/>
        <v>0</v>
      </c>
      <c r="AG50" s="16">
        <f t="shared" si="70"/>
        <v>0</v>
      </c>
      <c r="AH50" s="16">
        <f t="shared" si="70"/>
        <v>0</v>
      </c>
      <c r="AJ50" s="3" t="s">
        <v>76</v>
      </c>
      <c r="AK50" s="17">
        <f>AK48/AK49-1</f>
        <v>-0.29872750971430795</v>
      </c>
    </row>
    <row r="51" spans="2:37" x14ac:dyDescent="0.3">
      <c r="B51" s="1" t="s">
        <v>62</v>
      </c>
      <c r="G51" s="16">
        <f t="shared" ref="G51:N51" si="71">G36/G22</f>
        <v>0.14435695538057744</v>
      </c>
      <c r="H51" s="16">
        <f t="shared" si="71"/>
        <v>9.9004424778761091E-2</v>
      </c>
      <c r="I51" s="16">
        <f t="shared" si="71"/>
        <v>7.4490889603429797E-2</v>
      </c>
      <c r="J51" s="16">
        <f t="shared" si="71"/>
        <v>2.9456576942610401E-2</v>
      </c>
      <c r="K51" s="16">
        <f t="shared" si="71"/>
        <v>0.112401055408971</v>
      </c>
      <c r="L51" s="16">
        <f t="shared" si="71"/>
        <v>3.9278131634819476E-2</v>
      </c>
      <c r="M51" s="16">
        <f t="shared" si="71"/>
        <v>-9.5408467501489902E-3</v>
      </c>
      <c r="N51" s="16">
        <f t="shared" si="71"/>
        <v>6.0000000000000234E-2</v>
      </c>
      <c r="O51" s="16">
        <f>O36/O22</f>
        <v>-0.14826220853497582</v>
      </c>
      <c r="P51" s="16">
        <f t="shared" ref="P51:R51" si="72">P36/P22</f>
        <v>-3.597883597883593E-2</v>
      </c>
      <c r="Q51" s="16">
        <f t="shared" si="72"/>
        <v>-0.16689708272735049</v>
      </c>
      <c r="R51" s="16">
        <f t="shared" si="72"/>
        <v>-0.11643717966477338</v>
      </c>
      <c r="U51" s="16">
        <f>U36/U22</f>
        <v>-0.32574916759156491</v>
      </c>
      <c r="V51" s="16">
        <f>V36/V22</f>
        <v>8.3158922840798066E-2</v>
      </c>
      <c r="W51" s="16">
        <f>W36/W22</f>
        <v>5.3131854740433866E-2</v>
      </c>
      <c r="X51" s="16">
        <f>X36/X22</f>
        <v>-0.11645955237351562</v>
      </c>
      <c r="Y51" s="16">
        <f t="shared" ref="Y51:AH51" si="73">Y36/Y22</f>
        <v>-9.2585838312427379E-2</v>
      </c>
      <c r="Z51" s="16">
        <f t="shared" si="73"/>
        <v>-4.0465901711590393E-3</v>
      </c>
      <c r="AA51" s="16">
        <f t="shared" si="73"/>
        <v>5.5281715437448684E-2</v>
      </c>
      <c r="AB51" s="16">
        <f t="shared" si="73"/>
        <v>9.3281214782467772E-2</v>
      </c>
      <c r="AC51" s="16">
        <f t="shared" si="73"/>
        <v>0.11575435639889235</v>
      </c>
      <c r="AD51" s="16">
        <f t="shared" si="73"/>
        <v>0.13046792774902322</v>
      </c>
      <c r="AE51" s="16">
        <f t="shared" si="73"/>
        <v>0.13893411108808518</v>
      </c>
      <c r="AF51" s="16">
        <f t="shared" si="73"/>
        <v>0.1419459488234299</v>
      </c>
      <c r="AG51" s="16">
        <f t="shared" si="73"/>
        <v>0.1448797665482725</v>
      </c>
      <c r="AH51" s="16">
        <f t="shared" si="73"/>
        <v>0.14773797924945761</v>
      </c>
      <c r="AJ51" s="1" t="s">
        <v>77</v>
      </c>
      <c r="AK51" s="9" t="s">
        <v>81</v>
      </c>
    </row>
    <row r="53" spans="2:37" s="19" customFormat="1" x14ac:dyDescent="0.3">
      <c r="B53" s="19" t="s">
        <v>78</v>
      </c>
      <c r="O53" s="20">
        <v>5624</v>
      </c>
      <c r="P53" s="20">
        <v>5638.5</v>
      </c>
      <c r="X53" s="20">
        <v>5638.5</v>
      </c>
    </row>
    <row r="54" spans="2:37" x14ac:dyDescent="0.3">
      <c r="B54" s="1" t="s">
        <v>79</v>
      </c>
      <c r="O54" s="18"/>
      <c r="P54" s="18"/>
      <c r="X54" s="18">
        <f>Main!$D$9/Model!X53</f>
        <v>2.7724018799326062</v>
      </c>
    </row>
    <row r="55" spans="2:37" x14ac:dyDescent="0.3">
      <c r="B55" s="1" t="s">
        <v>80</v>
      </c>
      <c r="O55" s="16"/>
      <c r="P55" s="16"/>
      <c r="X55" s="16">
        <f>X53/Main!$D$9-1</f>
        <v>-0.63930193265331758</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Mniszek</dc:creator>
  <cp:lastModifiedBy>Anton Mniszek</cp:lastModifiedBy>
  <dcterms:created xsi:type="dcterms:W3CDTF">2025-11-22T10:34:37Z</dcterms:created>
  <dcterms:modified xsi:type="dcterms:W3CDTF">2026-01-23T11:54:57Z</dcterms:modified>
</cp:coreProperties>
</file>