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8472CF0-E9EA-4C22-B39E-4F937EBCE448}" xr6:coauthVersionLast="47" xr6:coauthVersionMax="47" xr10:uidLastSave="{00000000-0000-0000-0000-000000000000}"/>
  <bookViews>
    <workbookView xWindow="-108" yWindow="-108" windowWidth="23256" windowHeight="12576" activeTab="1" xr2:uid="{054FC3C2-46E6-4A64-A90B-FD32B5955AC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7" i="2" l="1"/>
  <c r="AF14" i="2"/>
  <c r="AF13" i="2"/>
  <c r="AF12" i="2"/>
  <c r="AF9" i="2"/>
  <c r="AF8" i="2"/>
  <c r="AF7" i="2"/>
  <c r="AF6" i="2"/>
  <c r="AF4" i="2"/>
  <c r="V14" i="2"/>
  <c r="V5" i="2"/>
  <c r="D6" i="1"/>
  <c r="AP19" i="2"/>
  <c r="AO19" i="2"/>
  <c r="AN19" i="2"/>
  <c r="AM19" i="2"/>
  <c r="AL19" i="2"/>
  <c r="AK19" i="2"/>
  <c r="AJ19" i="2"/>
  <c r="AI19" i="2"/>
  <c r="AH19" i="2"/>
  <c r="AG19" i="2"/>
  <c r="AF19" i="2"/>
  <c r="V19" i="2"/>
  <c r="D4" i="1"/>
  <c r="V15" i="2" l="1"/>
  <c r="V25" i="2"/>
  <c r="U14" i="2"/>
  <c r="U15" i="2" s="1"/>
  <c r="U10" i="2"/>
  <c r="U5" i="2"/>
  <c r="D8" i="1"/>
  <c r="U19" i="2"/>
  <c r="D5" i="1"/>
  <c r="T19" i="2"/>
  <c r="T15" i="2"/>
  <c r="T10" i="2"/>
  <c r="T5" i="2"/>
  <c r="T23" i="2" s="1"/>
  <c r="AF3" i="2"/>
  <c r="AG3" i="2" s="1"/>
  <c r="AH3" i="2" s="1"/>
  <c r="S19" i="2"/>
  <c r="S15" i="2"/>
  <c r="S10" i="2"/>
  <c r="S5" i="2"/>
  <c r="S23" i="2" s="1"/>
  <c r="R5" i="2"/>
  <c r="R23" i="2" s="1"/>
  <c r="V27" i="2"/>
  <c r="U27" i="2"/>
  <c r="T27" i="2"/>
  <c r="S27" i="2"/>
  <c r="V26" i="2"/>
  <c r="U26" i="2"/>
  <c r="T26" i="2"/>
  <c r="S26" i="2"/>
  <c r="U25" i="2"/>
  <c r="T25" i="2"/>
  <c r="S25" i="2"/>
  <c r="V24" i="2"/>
  <c r="U24" i="2"/>
  <c r="T24" i="2"/>
  <c r="S24" i="2"/>
  <c r="V22" i="2"/>
  <c r="U22" i="2"/>
  <c r="T22" i="2"/>
  <c r="S22" i="2"/>
  <c r="AT29" i="2"/>
  <c r="AE17" i="2"/>
  <c r="AE14" i="2"/>
  <c r="AE13" i="2"/>
  <c r="AF15" i="2" s="1"/>
  <c r="AE12" i="2"/>
  <c r="AE19" i="2"/>
  <c r="R19" i="2"/>
  <c r="R15" i="2"/>
  <c r="R27" i="2"/>
  <c r="R26" i="2"/>
  <c r="R25" i="2"/>
  <c r="AE6" i="2"/>
  <c r="AE3" i="2"/>
  <c r="P27" i="2"/>
  <c r="O27" i="2"/>
  <c r="N27" i="2"/>
  <c r="M27" i="2"/>
  <c r="L27" i="2"/>
  <c r="K27" i="2"/>
  <c r="J27" i="2"/>
  <c r="I27" i="2"/>
  <c r="H27" i="2"/>
  <c r="G27" i="2"/>
  <c r="P26" i="2"/>
  <c r="O26" i="2"/>
  <c r="N26" i="2"/>
  <c r="M26" i="2"/>
  <c r="L26" i="2"/>
  <c r="K26" i="2"/>
  <c r="J26" i="2"/>
  <c r="I26" i="2"/>
  <c r="H26" i="2"/>
  <c r="G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P22" i="2"/>
  <c r="O22" i="2"/>
  <c r="N22" i="2"/>
  <c r="M22" i="2"/>
  <c r="L22" i="2"/>
  <c r="K22" i="2"/>
  <c r="J22" i="2"/>
  <c r="I22" i="2"/>
  <c r="H22" i="2"/>
  <c r="G22" i="2"/>
  <c r="Q27" i="2"/>
  <c r="Q26" i="2"/>
  <c r="Q25" i="2"/>
  <c r="Q24" i="2"/>
  <c r="Q22" i="2"/>
  <c r="AD17" i="2"/>
  <c r="AD14" i="2"/>
  <c r="AD13" i="2"/>
  <c r="AD12" i="2"/>
  <c r="AD9" i="2"/>
  <c r="AD8" i="2"/>
  <c r="AD7" i="2"/>
  <c r="AD6" i="2"/>
  <c r="AD4" i="2"/>
  <c r="AD3" i="2"/>
  <c r="AD19" i="2"/>
  <c r="AC17" i="2"/>
  <c r="AC14" i="2"/>
  <c r="AC13" i="2"/>
  <c r="AC12" i="2"/>
  <c r="AC9" i="2"/>
  <c r="AC8" i="2"/>
  <c r="AC7" i="2"/>
  <c r="AC6" i="2"/>
  <c r="AC4" i="2"/>
  <c r="AC3" i="2"/>
  <c r="AC19" i="2"/>
  <c r="AB17" i="2"/>
  <c r="AB14" i="2"/>
  <c r="AB13" i="2"/>
  <c r="AB12" i="2"/>
  <c r="AB9" i="2"/>
  <c r="AB8" i="2"/>
  <c r="AB7" i="2"/>
  <c r="AB6" i="2"/>
  <c r="AB4" i="2"/>
  <c r="AB19" i="2"/>
  <c r="AB3" i="2"/>
  <c r="F19" i="2"/>
  <c r="F15" i="2"/>
  <c r="F10" i="2"/>
  <c r="F5" i="2"/>
  <c r="F23" i="2" s="1"/>
  <c r="C19" i="2"/>
  <c r="C15" i="2"/>
  <c r="C10" i="2"/>
  <c r="C5" i="2"/>
  <c r="C23" i="2" s="1"/>
  <c r="G19" i="2"/>
  <c r="G15" i="2"/>
  <c r="G10" i="2"/>
  <c r="G5" i="2"/>
  <c r="G23" i="2" s="1"/>
  <c r="D19" i="2"/>
  <c r="D15" i="2"/>
  <c r="D10" i="2"/>
  <c r="D5" i="2"/>
  <c r="D23" i="2" s="1"/>
  <c r="H19" i="2"/>
  <c r="H15" i="2"/>
  <c r="H10" i="2"/>
  <c r="H5" i="2"/>
  <c r="H23" i="2" s="1"/>
  <c r="E19" i="2"/>
  <c r="E15" i="2"/>
  <c r="E10" i="2"/>
  <c r="E5" i="2"/>
  <c r="E23" i="2" s="1"/>
  <c r="I19" i="2"/>
  <c r="I15" i="2"/>
  <c r="I10" i="2"/>
  <c r="I5" i="2"/>
  <c r="I23" i="2" s="1"/>
  <c r="J19" i="2"/>
  <c r="J15" i="2"/>
  <c r="J10" i="2"/>
  <c r="J5" i="2"/>
  <c r="J23" i="2" s="1"/>
  <c r="N19" i="2"/>
  <c r="N15" i="2"/>
  <c r="N10" i="2"/>
  <c r="N5" i="2"/>
  <c r="N23" i="2" s="1"/>
  <c r="K19" i="2"/>
  <c r="K15" i="2"/>
  <c r="K10" i="2"/>
  <c r="K5" i="2"/>
  <c r="K23" i="2" s="1"/>
  <c r="O19" i="2"/>
  <c r="O15" i="2"/>
  <c r="O10" i="2"/>
  <c r="O5" i="2"/>
  <c r="O23" i="2" s="1"/>
  <c r="L19" i="2"/>
  <c r="L15" i="2"/>
  <c r="L10" i="2"/>
  <c r="L5" i="2"/>
  <c r="L23" i="2" s="1"/>
  <c r="P19" i="2"/>
  <c r="P15" i="2"/>
  <c r="P10" i="2"/>
  <c r="P5" i="2"/>
  <c r="P23" i="2" s="1"/>
  <c r="M19" i="2"/>
  <c r="M15" i="2"/>
  <c r="M10" i="2"/>
  <c r="M5" i="2"/>
  <c r="M23" i="2" s="1"/>
  <c r="Q19" i="2"/>
  <c r="Q15" i="2"/>
  <c r="Q10" i="2"/>
  <c r="Q5" i="2"/>
  <c r="Q23" i="2" s="1"/>
  <c r="F3" i="1"/>
  <c r="AT26" i="2" l="1"/>
  <c r="T11" i="2"/>
  <c r="T28" i="2" s="1"/>
  <c r="U11" i="2"/>
  <c r="U28" i="2" s="1"/>
  <c r="S11" i="2"/>
  <c r="S16" i="2" s="1"/>
  <c r="U16" i="2"/>
  <c r="V10" i="2"/>
  <c r="V11" i="2" s="1"/>
  <c r="V28" i="2" s="1"/>
  <c r="U23" i="2"/>
  <c r="V23" i="2"/>
  <c r="D9" i="1"/>
  <c r="AC26" i="2"/>
  <c r="AC27" i="2"/>
  <c r="AD26" i="2"/>
  <c r="AB25" i="2"/>
  <c r="AC22" i="2"/>
  <c r="AD27" i="2"/>
  <c r="AE8" i="2"/>
  <c r="AG8" i="2" s="1"/>
  <c r="AG26" i="2" s="1"/>
  <c r="AE4" i="2"/>
  <c r="AE5" i="2" s="1"/>
  <c r="AE23" i="2" s="1"/>
  <c r="AC24" i="2"/>
  <c r="AC25" i="2"/>
  <c r="AD22" i="2"/>
  <c r="R22" i="2"/>
  <c r="AE9" i="2"/>
  <c r="AD24" i="2"/>
  <c r="AD25" i="2"/>
  <c r="AG6" i="2"/>
  <c r="AG24" i="2" s="1"/>
  <c r="AF25" i="2"/>
  <c r="AE7" i="2"/>
  <c r="AE25" i="2" s="1"/>
  <c r="R24" i="2"/>
  <c r="AE15" i="2"/>
  <c r="AG13" i="2"/>
  <c r="AB5" i="2"/>
  <c r="AB23" i="2" s="1"/>
  <c r="R10" i="2"/>
  <c r="R11" i="2" s="1"/>
  <c r="AF24" i="2"/>
  <c r="AF22" i="2"/>
  <c r="AE22" i="2"/>
  <c r="AE24" i="2"/>
  <c r="AD15" i="2"/>
  <c r="AD10" i="2"/>
  <c r="AD5" i="2"/>
  <c r="AD23" i="2" s="1"/>
  <c r="AC15" i="2"/>
  <c r="AC10" i="2"/>
  <c r="AC5" i="2"/>
  <c r="AC23" i="2" s="1"/>
  <c r="AB15" i="2"/>
  <c r="AB10" i="2"/>
  <c r="F11" i="2"/>
  <c r="C11" i="2"/>
  <c r="G11" i="2"/>
  <c r="D11" i="2"/>
  <c r="H11" i="2"/>
  <c r="E11" i="2"/>
  <c r="I11" i="2"/>
  <c r="Q11" i="2"/>
  <c r="J11" i="2"/>
  <c r="N11" i="2"/>
  <c r="K11" i="2"/>
  <c r="O11" i="2"/>
  <c r="L11" i="2"/>
  <c r="P11" i="2"/>
  <c r="M11" i="2"/>
  <c r="T16" i="2" l="1"/>
  <c r="S28" i="2"/>
  <c r="V16" i="2"/>
  <c r="T29" i="2"/>
  <c r="T18" i="2"/>
  <c r="U29" i="2"/>
  <c r="U18" i="2"/>
  <c r="AG22" i="2"/>
  <c r="AG5" i="2"/>
  <c r="S18" i="2"/>
  <c r="S29" i="2"/>
  <c r="AH8" i="2"/>
  <c r="AI8" i="2" s="1"/>
  <c r="AJ8" i="2" s="1"/>
  <c r="AK8" i="2" s="1"/>
  <c r="AL8" i="2" s="1"/>
  <c r="AM8" i="2" s="1"/>
  <c r="AN8" i="2" s="1"/>
  <c r="AO8" i="2" s="1"/>
  <c r="AP8" i="2" s="1"/>
  <c r="AE26" i="2"/>
  <c r="AE10" i="2"/>
  <c r="AE11" i="2" s="1"/>
  <c r="AE16" i="2" s="1"/>
  <c r="AF26" i="2"/>
  <c r="AB11" i="2"/>
  <c r="AB16" i="2" s="1"/>
  <c r="AE27" i="2"/>
  <c r="AF10" i="2"/>
  <c r="P16" i="2"/>
  <c r="P28" i="2"/>
  <c r="E16" i="2"/>
  <c r="E28" i="2"/>
  <c r="D16" i="2"/>
  <c r="D28" i="2"/>
  <c r="Q16" i="2"/>
  <c r="Q28" i="2"/>
  <c r="I16" i="2"/>
  <c r="I28" i="2"/>
  <c r="H16" i="2"/>
  <c r="H28" i="2"/>
  <c r="AH6" i="2"/>
  <c r="M16" i="2"/>
  <c r="M28" i="2"/>
  <c r="R28" i="2"/>
  <c r="R16" i="2"/>
  <c r="L16" i="2"/>
  <c r="L28" i="2"/>
  <c r="AH13" i="2"/>
  <c r="AG15" i="2"/>
  <c r="O16" i="2"/>
  <c r="O28" i="2"/>
  <c r="K16" i="2"/>
  <c r="K28" i="2"/>
  <c r="G16" i="2"/>
  <c r="G28" i="2"/>
  <c r="N16" i="2"/>
  <c r="N28" i="2"/>
  <c r="C16" i="2"/>
  <c r="C28" i="2"/>
  <c r="J16" i="2"/>
  <c r="J28" i="2"/>
  <c r="F16" i="2"/>
  <c r="F28" i="2"/>
  <c r="AH5" i="2"/>
  <c r="AG7" i="2"/>
  <c r="AG25" i="2" s="1"/>
  <c r="AD11" i="2"/>
  <c r="AC11" i="2"/>
  <c r="U30" i="2" l="1"/>
  <c r="U20" i="2"/>
  <c r="T30" i="2"/>
  <c r="T20" i="2"/>
  <c r="AH26" i="2"/>
  <c r="V29" i="2"/>
  <c r="S30" i="2"/>
  <c r="S20" i="2"/>
  <c r="AE28" i="2"/>
  <c r="AB28" i="2"/>
  <c r="AG9" i="2"/>
  <c r="AG10" i="2" s="1"/>
  <c r="AG11" i="2" s="1"/>
  <c r="AF27" i="2"/>
  <c r="I18" i="2"/>
  <c r="I29" i="2"/>
  <c r="AH7" i="2"/>
  <c r="AH25" i="2" s="1"/>
  <c r="AH23" i="2"/>
  <c r="AI3" i="2"/>
  <c r="AH22" i="2"/>
  <c r="N18" i="2"/>
  <c r="N29" i="2"/>
  <c r="AI13" i="2"/>
  <c r="AH15" i="2"/>
  <c r="AB18" i="2"/>
  <c r="AB29" i="2"/>
  <c r="P18" i="2"/>
  <c r="P29" i="2"/>
  <c r="AI6" i="2"/>
  <c r="AH24" i="2"/>
  <c r="Q18" i="2"/>
  <c r="Q29" i="2"/>
  <c r="AC16" i="2"/>
  <c r="AC28" i="2"/>
  <c r="G18" i="2"/>
  <c r="G29" i="2"/>
  <c r="L18" i="2"/>
  <c r="L29" i="2"/>
  <c r="AD16" i="2"/>
  <c r="AD28" i="2"/>
  <c r="R29" i="2"/>
  <c r="R18" i="2"/>
  <c r="F18" i="2"/>
  <c r="F29" i="2"/>
  <c r="J18" i="2"/>
  <c r="J29" i="2"/>
  <c r="K18" i="2"/>
  <c r="K29" i="2"/>
  <c r="D18" i="2"/>
  <c r="D29" i="2"/>
  <c r="H18" i="2"/>
  <c r="H29" i="2"/>
  <c r="AG4" i="2"/>
  <c r="AG23" i="2"/>
  <c r="C18" i="2"/>
  <c r="C29" i="2"/>
  <c r="O18" i="2"/>
  <c r="O29" i="2"/>
  <c r="M18" i="2"/>
  <c r="M29" i="2"/>
  <c r="E18" i="2"/>
  <c r="E29" i="2"/>
  <c r="AI26" i="2"/>
  <c r="AE18" i="2"/>
  <c r="AE29" i="2"/>
  <c r="V18" i="2" l="1"/>
  <c r="AH4" i="2"/>
  <c r="AH9" i="2"/>
  <c r="AG27" i="2"/>
  <c r="L20" i="2"/>
  <c r="L30" i="2"/>
  <c r="I20" i="2"/>
  <c r="I30" i="2"/>
  <c r="O20" i="2"/>
  <c r="O30" i="2"/>
  <c r="D20" i="2"/>
  <c r="D30" i="2"/>
  <c r="R20" i="2"/>
  <c r="R30" i="2"/>
  <c r="AJ6" i="2"/>
  <c r="AI24" i="2"/>
  <c r="N20" i="2"/>
  <c r="N30" i="2"/>
  <c r="M20" i="2"/>
  <c r="M30" i="2"/>
  <c r="K20" i="2"/>
  <c r="K30" i="2"/>
  <c r="P20" i="2"/>
  <c r="P30" i="2"/>
  <c r="AD18" i="2"/>
  <c r="AD29" i="2"/>
  <c r="AC18" i="2"/>
  <c r="AC29" i="2"/>
  <c r="H20" i="2"/>
  <c r="H30" i="2"/>
  <c r="AJ13" i="2"/>
  <c r="AI15" i="2"/>
  <c r="F20" i="2"/>
  <c r="F30" i="2"/>
  <c r="J20" i="2"/>
  <c r="J30" i="2"/>
  <c r="AB20" i="2"/>
  <c r="AB30" i="2"/>
  <c r="G20" i="2"/>
  <c r="G30" i="2"/>
  <c r="C20" i="2"/>
  <c r="C30" i="2"/>
  <c r="AI7" i="2"/>
  <c r="AI25" i="2" s="1"/>
  <c r="AJ3" i="2"/>
  <c r="AI5" i="2"/>
  <c r="AI22" i="2"/>
  <c r="E20" i="2"/>
  <c r="E30" i="2"/>
  <c r="AG16" i="2"/>
  <c r="AG28" i="2"/>
  <c r="Q20" i="2"/>
  <c r="Q30" i="2"/>
  <c r="AJ26" i="2"/>
  <c r="AE30" i="2"/>
  <c r="AE20" i="2"/>
  <c r="V30" i="2" l="1"/>
  <c r="V20" i="2"/>
  <c r="AI9" i="2"/>
  <c r="AH27" i="2"/>
  <c r="AH10" i="2"/>
  <c r="AH11" i="2" s="1"/>
  <c r="AG29" i="2"/>
  <c r="AG18" i="2"/>
  <c r="AC20" i="2"/>
  <c r="AC30" i="2"/>
  <c r="AD20" i="2"/>
  <c r="AD30" i="2"/>
  <c r="AI4" i="2"/>
  <c r="AI23" i="2"/>
  <c r="AK13" i="2"/>
  <c r="AJ15" i="2"/>
  <c r="AK3" i="2"/>
  <c r="AJ5" i="2"/>
  <c r="AJ7" i="2"/>
  <c r="AJ25" i="2" s="1"/>
  <c r="AJ22" i="2"/>
  <c r="AK6" i="2"/>
  <c r="AJ24" i="2"/>
  <c r="AK26" i="2"/>
  <c r="AJ9" i="2" l="1"/>
  <c r="AI27" i="2"/>
  <c r="AI10" i="2"/>
  <c r="AI11" i="2" s="1"/>
  <c r="AI28" i="2" s="1"/>
  <c r="AH16" i="2"/>
  <c r="AH28" i="2"/>
  <c r="AK5" i="2"/>
  <c r="AK7" i="2"/>
  <c r="AK25" i="2" s="1"/>
  <c r="AL3" i="2"/>
  <c r="AK22" i="2"/>
  <c r="AJ4" i="2"/>
  <c r="AJ23" i="2"/>
  <c r="AL6" i="2"/>
  <c r="AK24" i="2"/>
  <c r="AL13" i="2"/>
  <c r="AK15" i="2"/>
  <c r="AG20" i="2"/>
  <c r="AG30" i="2"/>
  <c r="AL26" i="2"/>
  <c r="AI16" i="2" l="1"/>
  <c r="AI18" i="2" s="1"/>
  <c r="AK9" i="2"/>
  <c r="AJ27" i="2"/>
  <c r="AJ10" i="2"/>
  <c r="AJ11" i="2" s="1"/>
  <c r="AJ16" i="2" s="1"/>
  <c r="AH29" i="2"/>
  <c r="AH18" i="2"/>
  <c r="AK4" i="2"/>
  <c r="AK23" i="2"/>
  <c r="AM13" i="2"/>
  <c r="AL15" i="2"/>
  <c r="AL7" i="2"/>
  <c r="AM3" i="2"/>
  <c r="AL5" i="2"/>
  <c r="AL22" i="2"/>
  <c r="AM6" i="2"/>
  <c r="AL24" i="2"/>
  <c r="AM26" i="2"/>
  <c r="AI29" i="2" l="1"/>
  <c r="AH20" i="2"/>
  <c r="AH30" i="2"/>
  <c r="AJ28" i="2"/>
  <c r="AL9" i="2"/>
  <c r="AK27" i="2"/>
  <c r="AK10" i="2"/>
  <c r="AK11" i="2" s="1"/>
  <c r="AK16" i="2" s="1"/>
  <c r="AL10" i="2"/>
  <c r="AL11" i="2" s="1"/>
  <c r="AL25" i="2"/>
  <c r="AN6" i="2"/>
  <c r="AM24" i="2"/>
  <c r="AN13" i="2"/>
  <c r="AM15" i="2"/>
  <c r="AJ29" i="2"/>
  <c r="AJ18" i="2"/>
  <c r="AI20" i="2"/>
  <c r="AI30" i="2"/>
  <c r="AL4" i="2"/>
  <c r="AL23" i="2"/>
  <c r="AN3" i="2"/>
  <c r="AN5" i="2" s="1"/>
  <c r="AM7" i="2"/>
  <c r="AM5" i="2"/>
  <c r="AM22" i="2"/>
  <c r="AN26" i="2"/>
  <c r="AM9" i="2" l="1"/>
  <c r="AL27" i="2"/>
  <c r="AK28" i="2"/>
  <c r="AJ20" i="2"/>
  <c r="AJ30" i="2"/>
  <c r="AO13" i="2"/>
  <c r="AN15" i="2"/>
  <c r="AK29" i="2"/>
  <c r="AK18" i="2"/>
  <c r="AO6" i="2"/>
  <c r="AN24" i="2"/>
  <c r="AM10" i="2"/>
  <c r="AM11" i="2" s="1"/>
  <c r="AM25" i="2"/>
  <c r="AO3" i="2"/>
  <c r="AO5" i="2" s="1"/>
  <c r="AN7" i="2"/>
  <c r="AN22" i="2"/>
  <c r="AM4" i="2"/>
  <c r="AM23" i="2"/>
  <c r="AL16" i="2"/>
  <c r="AL28" i="2"/>
  <c r="AO26" i="2"/>
  <c r="AP26" i="2"/>
  <c r="AN9" i="2" l="1"/>
  <c r="AN10" i="2" s="1"/>
  <c r="AN11" i="2" s="1"/>
  <c r="AM27" i="2"/>
  <c r="AM16" i="2"/>
  <c r="AM28" i="2"/>
  <c r="AN25" i="2"/>
  <c r="AP3" i="2"/>
  <c r="AP5" i="2" s="1"/>
  <c r="AO7" i="2"/>
  <c r="AO25" i="2" s="1"/>
  <c r="AO22" i="2"/>
  <c r="AP13" i="2"/>
  <c r="AP15" i="2" s="1"/>
  <c r="AO15" i="2"/>
  <c r="AP6" i="2"/>
  <c r="AP24" i="2" s="1"/>
  <c r="AO24" i="2"/>
  <c r="AK20" i="2"/>
  <c r="AK30" i="2"/>
  <c r="AN4" i="2"/>
  <c r="AN23" i="2"/>
  <c r="AL18" i="2"/>
  <c r="AL29" i="2"/>
  <c r="AO9" i="2" l="1"/>
  <c r="AO10" i="2" s="1"/>
  <c r="AO11" i="2" s="1"/>
  <c r="AN27" i="2"/>
  <c r="AM18" i="2"/>
  <c r="AM29" i="2"/>
  <c r="AO4" i="2"/>
  <c r="AO23" i="2"/>
  <c r="AP7" i="2"/>
  <c r="AP22" i="2"/>
  <c r="AN16" i="2"/>
  <c r="AN28" i="2"/>
  <c r="AL30" i="2"/>
  <c r="AL20" i="2"/>
  <c r="AP9" i="2" l="1"/>
  <c r="AP27" i="2" s="1"/>
  <c r="AO27" i="2"/>
  <c r="AM20" i="2"/>
  <c r="AM30" i="2"/>
  <c r="AP25" i="2"/>
  <c r="AP4" i="2"/>
  <c r="AP23" i="2"/>
  <c r="AN18" i="2"/>
  <c r="AN29" i="2"/>
  <c r="AO16" i="2"/>
  <c r="AO28" i="2"/>
  <c r="AP10" i="2" l="1"/>
  <c r="AP11" i="2" s="1"/>
  <c r="AP16" i="2" s="1"/>
  <c r="AN30" i="2"/>
  <c r="AN20" i="2"/>
  <c r="AO18" i="2"/>
  <c r="AO29" i="2"/>
  <c r="AP28" i="2" l="1"/>
  <c r="AP29" i="2"/>
  <c r="AP18" i="2"/>
  <c r="AO20" i="2"/>
  <c r="AO30" i="2"/>
  <c r="AP30" i="2" l="1"/>
  <c r="AQ18" i="2"/>
  <c r="AP20" i="2"/>
  <c r="AR18" i="2" l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AF11" i="2"/>
  <c r="AF28" i="2" s="1"/>
  <c r="AF5" i="2"/>
  <c r="AF23" i="2"/>
  <c r="AF16" i="2" l="1"/>
  <c r="AF29" i="2" l="1"/>
  <c r="AF18" i="2"/>
  <c r="AT25" i="2" l="1"/>
  <c r="AT27" i="2" s="1"/>
  <c r="AT28" i="2" s="1"/>
  <c r="AT30" i="2" s="1"/>
  <c r="AF20" i="2"/>
  <c r="AF30" i="2"/>
</calcChain>
</file>

<file path=xl/sharedStrings.xml><?xml version="1.0" encoding="utf-8"?>
<sst xmlns="http://schemas.openxmlformats.org/spreadsheetml/2006/main" count="76" uniqueCount="71">
  <si>
    <t>IONQ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</si>
  <si>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</si>
  <si>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</si>
  <si>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</si>
  <si>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</si>
  <si>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</si>
  <si>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</si>
  <si>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</si>
  <si>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</si>
  <si>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</si>
  <si>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</si>
  <si>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</si>
  <si>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</si>
  <si>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</si>
  <si>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</si>
  <si>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</si>
  <si>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</si>
  <si>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</si>
  <si>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</si>
  <si>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</si>
  <si>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</si>
  <si>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</si>
  <si>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</si>
  <si>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</si>
  <si>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sales</t>
  </si>
  <si>
    <t>Gross profit</t>
  </si>
  <si>
    <t>R&amp;D</t>
  </si>
  <si>
    <t>S&amp;M</t>
  </si>
  <si>
    <t>G&amp;A</t>
  </si>
  <si>
    <t>D&amp;A</t>
  </si>
  <si>
    <t>Total operating expenses</t>
  </si>
  <si>
    <t>Operating profit</t>
  </si>
  <si>
    <t>Finance income</t>
  </si>
  <si>
    <t>Interest income</t>
  </si>
  <si>
    <t>Other income</t>
  </si>
  <si>
    <t>Pretax profit</t>
  </si>
  <si>
    <t>Taxes</t>
  </si>
  <si>
    <t>Net profit</t>
  </si>
  <si>
    <t>EPS</t>
  </si>
  <si>
    <t>Net financial expense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</si>
  <si>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</si>
  <si>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</si>
  <si>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</si>
  <si>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</si>
  <si>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</si>
  <si>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</si>
  <si>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</si>
  <si>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</si>
  <si>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</si>
  <si>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D&amp;A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</si>
  <si>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</si>
  <si>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</si>
  <si>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</si>
  <si>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</si>
  <si>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</si>
  <si>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</si>
  <si>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</si>
  <si>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</si>
  <si>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</si>
  <si>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</si>
  <si>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</si>
  <si>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</si>
  <si>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(Q324) 10-Q's contains good info on quantum</t>
  </si>
  <si>
    <t>Q125</t>
  </si>
  <si>
    <t>Q225</t>
  </si>
  <si>
    <t>Q325</t>
  </si>
  <si>
    <t>Q425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</si>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</sst>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38100</xdr:colOff>
      <xdr:row>0</xdr:row>
      <xdr:rowOff>0</xdr:rowOff>
    </xdr:from>
    <xdr:to>
      <xdr:col>31</xdr:col>
      <xdr:colOff>38100</xdr:colOff>
      <xdr:row>33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9251593-FDE7-4306-4D03-99BD67B9CBEA}"/>
            </a:ext>
          </a:extLst>
        </xdr:cNvPr>
        <xdr:cNvCxnSpPr/>
      </xdr:nvCxnSpPr>
      <xdr:spPr>
        <a:xfrm>
          <a:off x="1737360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38100</xdr:colOff>
      <xdr:row>0</xdr:row>
      <xdr:rowOff>0</xdr:rowOff>
    </xdr:from>
    <xdr:to>
      <xdr:col>22</xdr:col>
      <xdr:colOff>38100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832E068-B88A-9821-303D-BB9E41A16FAE}"/>
            </a:ext>
          </a:extLst>
        </xdr:cNvPr>
        <xdr:cNvCxnSpPr/>
      </xdr:nvCxnSpPr>
      <xdr:spPr>
        <a:xfrm>
          <a:off x="1432560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6BC5A-5797-4F89-A935-C61FD59BE6EE}">
  <dimension ref="B2:K10"/>
  <sheetViews>
    <sheetView workbookViewId="0">
      <selection activeCell="E8" sqref="E8"/>
    </sheetView>
  </sheetViews>
  <sheetFormatPr defaultRowHeight="14.4" x14ac:dyDescent="0.3"/>
  <cols>
    <col min="5" max="7" width="13.109375" style="2" customWidth="1"/>
  </cols>
  <sheetData>
    <row r="2" spans="2:11" x14ac:dyDescent="0.3">
      <c r="E2" s="2" t="s">
        <v>8</v>
      </c>
      <c r="F2" s="2" t="s">
        <v>9</v>
      </c>
      <c r="G2" s="2" t="s">
        <v>10</v>
      </c>
    </row>
    <row r="3" spans="2:11" x14ac:dyDescent="0.3">
      <c r="B3" s="1" t="s">
        <v>0</v>
      </c>
      <c r="C3" t="s">
        <v>1</v>
      </c>
      <c r="D3" s="4">
        <v>38.46</v>
      </c>
      <c r="E3" s="3">
        <v>46079</v>
      </c>
      <c r="F3" s="3">
        <f ca="1">TODAY()</f>
        <v>46079</v>
      </c>
      <c r="G3" s="3">
        <v>46155</v>
      </c>
    </row>
    <row r="4" spans="2:11" x14ac:dyDescent="0.3">
      <c r="C4" t="s">
        <v>2</v>
      </c>
      <c r="D4" s="5">
        <f>366.6</f>
        <v>366.6</v>
      </c>
      <c r="E4" s="2" t="s">
        <v>66</v>
      </c>
    </row>
    <row r="5" spans="2:11" x14ac:dyDescent="0.3">
      <c r="C5" t="s">
        <v>3</v>
      </c>
      <c r="D5" s="5">
        <f>D3*D4</f>
        <v>14099.436000000002</v>
      </c>
    </row>
    <row r="6" spans="2:11" x14ac:dyDescent="0.3">
      <c r="C6" t="s">
        <v>4</v>
      </c>
      <c r="D6" s="5">
        <f>1030.9+1361.3+944.6</f>
        <v>3336.7999999999997</v>
      </c>
      <c r="E6" s="2" t="s">
        <v>66</v>
      </c>
    </row>
    <row r="7" spans="2:11" x14ac:dyDescent="0.3">
      <c r="C7" t="s">
        <v>5</v>
      </c>
      <c r="D7" s="5">
        <v>0</v>
      </c>
      <c r="E7" s="2" t="s">
        <v>66</v>
      </c>
    </row>
    <row r="8" spans="2:11" x14ac:dyDescent="0.3">
      <c r="C8" t="s">
        <v>6</v>
      </c>
      <c r="D8" s="5">
        <f>D6-D7</f>
        <v>3336.7999999999997</v>
      </c>
    </row>
    <row r="9" spans="2:11" x14ac:dyDescent="0.3">
      <c r="C9" t="s">
        <v>7</v>
      </c>
      <c r="D9" s="5">
        <f>D5-D8</f>
        <v>10762.636000000002</v>
      </c>
    </row>
    <row r="10" spans="2:11" x14ac:dyDescent="0.3">
      <c r="K10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69D86-50D1-4FDE-B373-2512B05FF677}">
  <dimension ref="B2:FD31"/>
  <sheetViews>
    <sheetView tabSelected="1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G3" sqref="AG3"/>
    </sheetView>
  </sheetViews>
  <sheetFormatPr defaultRowHeight="14.4" x14ac:dyDescent="0.3"/>
  <cols>
    <col min="2" max="2" width="21.6640625" bestFit="1" customWidth="1"/>
    <col min="3" max="6" width="8.88671875" customWidth="1"/>
    <col min="45" max="45" width="13.109375" customWidth="1"/>
    <col min="46" max="46" width="16.44140625" bestFit="1" customWidth="1"/>
  </cols>
  <sheetData>
    <row r="2" spans="2:42" x14ac:dyDescent="0.3">
      <c r="C2" s="6" t="s">
        <v>40</v>
      </c>
      <c r="D2" s="6" t="s">
        <v>41</v>
      </c>
      <c r="E2" s="6" t="s">
        <v>42</v>
      </c>
      <c r="F2" s="6" t="s">
        <v>43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63</v>
      </c>
      <c r="T2" s="6" t="s">
        <v>64</v>
      </c>
      <c r="U2" s="6" t="s">
        <v>65</v>
      </c>
      <c r="V2" s="6" t="s">
        <v>66</v>
      </c>
      <c r="W2" s="6" t="s">
        <v>67</v>
      </c>
      <c r="X2" s="6" t="s">
        <v>68</v>
      </c>
      <c r="Y2" s="6" t="s">
        <v>69</v>
      </c>
      <c r="Z2" s="6" t="s">
        <v>70</v>
      </c>
      <c r="AB2">
        <v>2021</v>
      </c>
      <c r="AC2">
        <v>2022</v>
      </c>
      <c r="AD2">
        <v>2023</v>
      </c>
      <c r="AE2">
        <v>2024</v>
      </c>
      <c r="AF2">
        <v>2025</v>
      </c>
      <c r="AG2">
        <v>2026</v>
      </c>
      <c r="AH2">
        <v>2027</v>
      </c>
      <c r="AI2">
        <v>2028</v>
      </c>
      <c r="AJ2">
        <v>2029</v>
      </c>
      <c r="AK2">
        <v>2030</v>
      </c>
      <c r="AL2">
        <v>2031</v>
      </c>
      <c r="AM2">
        <v>2032</v>
      </c>
      <c r="AN2">
        <v>2033</v>
      </c>
      <c r="AO2">
        <v>2034</v>
      </c>
      <c r="AP2">
        <v>2035</v>
      </c>
    </row>
    <row r="3" spans="2:42" s="1" customFormat="1" x14ac:dyDescent="0.3">
      <c r="B3" s="1" t="s">
        <v>11</v>
      </c>
      <c r="C3" s="8">
        <v>0.1</v>
      </c>
      <c r="D3" s="8">
        <v>0.1</v>
      </c>
      <c r="E3" s="8">
        <v>0.2</v>
      </c>
      <c r="F3" s="8">
        <v>1.6</v>
      </c>
      <c r="G3" s="8">
        <v>2</v>
      </c>
      <c r="H3" s="8">
        <v>2.6</v>
      </c>
      <c r="I3" s="8">
        <v>2.8</v>
      </c>
      <c r="J3" s="8">
        <v>3.8</v>
      </c>
      <c r="K3" s="8">
        <v>4.3</v>
      </c>
      <c r="L3" s="8">
        <v>5.5</v>
      </c>
      <c r="M3" s="8">
        <v>6.1</v>
      </c>
      <c r="N3" s="8">
        <v>6.1</v>
      </c>
      <c r="O3" s="8">
        <v>7.6</v>
      </c>
      <c r="P3" s="8">
        <v>11.4</v>
      </c>
      <c r="Q3" s="8">
        <v>12.4</v>
      </c>
      <c r="R3" s="8">
        <v>11.7</v>
      </c>
      <c r="S3" s="8">
        <v>7.6</v>
      </c>
      <c r="T3" s="8">
        <v>20.7</v>
      </c>
      <c r="U3" s="8">
        <v>39.9</v>
      </c>
      <c r="V3" s="8">
        <v>61.9</v>
      </c>
      <c r="W3" s="8">
        <v>49</v>
      </c>
      <c r="X3" s="8"/>
      <c r="Y3" s="8"/>
      <c r="Z3" s="8"/>
      <c r="AA3" s="8"/>
      <c r="AB3" s="8">
        <f>SUM(C3:F3)</f>
        <v>2</v>
      </c>
      <c r="AC3" s="8">
        <f>SUM(G3:J3)</f>
        <v>11.2</v>
      </c>
      <c r="AD3" s="8">
        <f>SUM(K3:N3)</f>
        <v>22</v>
      </c>
      <c r="AE3" s="8">
        <f>SUM(O3:R3)</f>
        <v>43.099999999999994</v>
      </c>
      <c r="AF3" s="8">
        <f>SUM(S3:V3)</f>
        <v>130.1</v>
      </c>
      <c r="AG3" s="8">
        <f>AF3*1.9</f>
        <v>247.18999999999997</v>
      </c>
      <c r="AH3" s="8">
        <f>AG3*1.75</f>
        <v>432.58249999999992</v>
      </c>
      <c r="AI3" s="8">
        <f>AH3*1.6</f>
        <v>692.13199999999995</v>
      </c>
      <c r="AJ3" s="8">
        <f>AI3*1.5</f>
        <v>1038.1979999999999</v>
      </c>
      <c r="AK3" s="8">
        <f>AJ3*1.45</f>
        <v>1505.3870999999997</v>
      </c>
      <c r="AL3" s="8">
        <f>AK3*1.25</f>
        <v>1881.7338749999997</v>
      </c>
      <c r="AM3" s="8">
        <f>AL3*1.2</f>
        <v>2258.0806499999994</v>
      </c>
      <c r="AN3" s="8">
        <f>AM3*1.15</f>
        <v>2596.7927474999992</v>
      </c>
      <c r="AO3" s="8">
        <f>AN3*1.1</f>
        <v>2856.4720222499996</v>
      </c>
      <c r="AP3" s="8">
        <f>AO3*1.05</f>
        <v>2999.2956233624996</v>
      </c>
    </row>
    <row r="4" spans="2:42" x14ac:dyDescent="0.3">
      <c r="B4" t="s">
        <v>24</v>
      </c>
      <c r="C4" s="5">
        <v>0.2</v>
      </c>
      <c r="D4" s="5">
        <v>0.3</v>
      </c>
      <c r="E4" s="5">
        <v>0.2</v>
      </c>
      <c r="F4" s="5">
        <v>0.3</v>
      </c>
      <c r="G4" s="5">
        <v>0.6</v>
      </c>
      <c r="H4" s="5">
        <v>0.7</v>
      </c>
      <c r="I4" s="5">
        <v>0.7</v>
      </c>
      <c r="J4" s="5">
        <v>0.9</v>
      </c>
      <c r="K4" s="5">
        <v>1</v>
      </c>
      <c r="L4" s="5">
        <v>1.9</v>
      </c>
      <c r="M4" s="5">
        <v>2</v>
      </c>
      <c r="N4" s="5">
        <v>3.2</v>
      </c>
      <c r="O4" s="5">
        <v>3.4</v>
      </c>
      <c r="P4" s="5">
        <v>5.6</v>
      </c>
      <c r="Q4" s="5">
        <v>6.5</v>
      </c>
      <c r="R4" s="5">
        <v>5</v>
      </c>
      <c r="S4" s="5">
        <v>4.3</v>
      </c>
      <c r="T4" s="5">
        <v>8.3000000000000007</v>
      </c>
      <c r="U4" s="5">
        <v>21.3</v>
      </c>
      <c r="V4" s="5">
        <v>43.6</v>
      </c>
      <c r="W4" s="5"/>
      <c r="X4" s="5"/>
      <c r="Y4" s="5"/>
      <c r="Z4" s="5"/>
      <c r="AB4" s="5">
        <f>SUM(C4:F4)</f>
        <v>1</v>
      </c>
      <c r="AC4" s="5">
        <f>SUM(G4:J4)</f>
        <v>2.9</v>
      </c>
      <c r="AD4" s="5">
        <f>SUM(K4:N4)</f>
        <v>8.1000000000000014</v>
      </c>
      <c r="AE4" s="5">
        <f>SUM(O4:R4)</f>
        <v>20.5</v>
      </c>
      <c r="AF4" s="11">
        <f>SUM(S4:V4)</f>
        <v>77.5</v>
      </c>
      <c r="AG4" s="5">
        <f t="shared" ref="AG4:AP4" si="0">AG3-AG5</f>
        <v>121.12309999999998</v>
      </c>
      <c r="AH4" s="5">
        <f t="shared" si="0"/>
        <v>207.63959999999994</v>
      </c>
      <c r="AI4" s="5">
        <f t="shared" si="0"/>
        <v>332.22335999999996</v>
      </c>
      <c r="AJ4" s="5">
        <f t="shared" si="0"/>
        <v>477.57107999999994</v>
      </c>
      <c r="AK4" s="5">
        <f t="shared" si="0"/>
        <v>662.37032399999975</v>
      </c>
      <c r="AL4" s="5">
        <f t="shared" si="0"/>
        <v>790.32822749999991</v>
      </c>
      <c r="AM4" s="5">
        <f t="shared" si="0"/>
        <v>903.23225999999977</v>
      </c>
      <c r="AN4" s="5">
        <f t="shared" si="0"/>
        <v>1012.7491715249998</v>
      </c>
      <c r="AO4" s="5">
        <f t="shared" si="0"/>
        <v>1085.4593684549998</v>
      </c>
      <c r="AP4" s="5">
        <f t="shared" si="0"/>
        <v>1139.7323368777497</v>
      </c>
    </row>
    <row r="5" spans="2:42" s="1" customFormat="1" x14ac:dyDescent="0.3">
      <c r="B5" s="1" t="s">
        <v>25</v>
      </c>
      <c r="C5" s="8">
        <f t="shared" ref="C5:V5" si="1">C3-C4</f>
        <v>-0.1</v>
      </c>
      <c r="D5" s="8">
        <f t="shared" si="1"/>
        <v>-0.19999999999999998</v>
      </c>
      <c r="E5" s="8">
        <f t="shared" si="1"/>
        <v>0</v>
      </c>
      <c r="F5" s="8">
        <f t="shared" si="1"/>
        <v>1.3</v>
      </c>
      <c r="G5" s="8">
        <f t="shared" si="1"/>
        <v>1.4</v>
      </c>
      <c r="H5" s="8">
        <f t="shared" si="1"/>
        <v>1.9000000000000001</v>
      </c>
      <c r="I5" s="8">
        <f t="shared" si="1"/>
        <v>2.0999999999999996</v>
      </c>
      <c r="J5" s="8">
        <f t="shared" si="1"/>
        <v>2.9</v>
      </c>
      <c r="K5" s="8">
        <f t="shared" si="1"/>
        <v>3.3</v>
      </c>
      <c r="L5" s="8">
        <f t="shared" si="1"/>
        <v>3.6</v>
      </c>
      <c r="M5" s="8">
        <f t="shared" si="1"/>
        <v>4.0999999999999996</v>
      </c>
      <c r="N5" s="8">
        <f t="shared" si="1"/>
        <v>2.8999999999999995</v>
      </c>
      <c r="O5" s="8">
        <f t="shared" si="1"/>
        <v>4.1999999999999993</v>
      </c>
      <c r="P5" s="8">
        <f t="shared" si="1"/>
        <v>5.8000000000000007</v>
      </c>
      <c r="Q5" s="8">
        <f t="shared" si="1"/>
        <v>5.9</v>
      </c>
      <c r="R5" s="8">
        <f t="shared" si="1"/>
        <v>6.6999999999999993</v>
      </c>
      <c r="S5" s="8">
        <f t="shared" si="1"/>
        <v>3.3</v>
      </c>
      <c r="T5" s="8">
        <f t="shared" si="1"/>
        <v>12.399999999999999</v>
      </c>
      <c r="U5" s="8">
        <f t="shared" si="1"/>
        <v>18.599999999999998</v>
      </c>
      <c r="V5" s="8">
        <f t="shared" si="1"/>
        <v>18.299999999999997</v>
      </c>
      <c r="W5" s="8"/>
      <c r="X5" s="8"/>
      <c r="Y5" s="8"/>
      <c r="Z5" s="8"/>
      <c r="AB5" s="8">
        <f>AB3-AB4</f>
        <v>1</v>
      </c>
      <c r="AC5" s="8">
        <f>AC3-AC4</f>
        <v>8.2999999999999989</v>
      </c>
      <c r="AD5" s="8">
        <f>AD3-AD4</f>
        <v>13.899999999999999</v>
      </c>
      <c r="AE5" s="8">
        <f>AE3-AE4</f>
        <v>22.599999999999994</v>
      </c>
      <c r="AF5" s="8">
        <f>AF3-AF4</f>
        <v>52.599999999999994</v>
      </c>
      <c r="AG5" s="8">
        <f>AG3*0.51</f>
        <v>126.06689999999999</v>
      </c>
      <c r="AH5" s="8">
        <f>AH3*0.52</f>
        <v>224.94289999999998</v>
      </c>
      <c r="AI5" s="8">
        <f>AI3*0.52</f>
        <v>359.90863999999999</v>
      </c>
      <c r="AJ5" s="8">
        <f>AJ3*0.54</f>
        <v>560.62691999999993</v>
      </c>
      <c r="AK5" s="8">
        <f>AK3*0.56</f>
        <v>843.01677599999994</v>
      </c>
      <c r="AL5" s="8">
        <f>AL3*0.58</f>
        <v>1091.4056474999998</v>
      </c>
      <c r="AM5" s="8">
        <f>AM3*0.6</f>
        <v>1354.8483899999997</v>
      </c>
      <c r="AN5" s="8">
        <f>AN3*0.61</f>
        <v>1584.0435759749994</v>
      </c>
      <c r="AO5" s="8">
        <f>AO3*0.62</f>
        <v>1771.0126537949998</v>
      </c>
      <c r="AP5" s="8">
        <f>AP3*0.62</f>
        <v>1859.5632864847498</v>
      </c>
    </row>
    <row r="6" spans="2:42" x14ac:dyDescent="0.3">
      <c r="B6" t="s">
        <v>26</v>
      </c>
      <c r="C6" s="5">
        <v>3.7</v>
      </c>
      <c r="D6" s="5">
        <v>5.5</v>
      </c>
      <c r="E6" s="5">
        <v>6.2</v>
      </c>
      <c r="F6" s="5">
        <v>4.9000000000000004</v>
      </c>
      <c r="G6" s="5">
        <v>7.3</v>
      </c>
      <c r="H6" s="5">
        <v>9.6999999999999993</v>
      </c>
      <c r="I6" s="5">
        <v>13.3</v>
      </c>
      <c r="J6" s="5">
        <v>13.7</v>
      </c>
      <c r="K6" s="5">
        <v>16.2</v>
      </c>
      <c r="L6" s="5">
        <v>19.899999999999999</v>
      </c>
      <c r="M6" s="5">
        <v>24.6</v>
      </c>
      <c r="N6" s="5">
        <v>31.6</v>
      </c>
      <c r="O6" s="5">
        <v>32.4</v>
      </c>
      <c r="P6" s="5">
        <v>31.2</v>
      </c>
      <c r="Q6" s="5">
        <v>33.200000000000003</v>
      </c>
      <c r="R6" s="5">
        <v>40.1</v>
      </c>
      <c r="S6" s="5">
        <v>40</v>
      </c>
      <c r="T6" s="5">
        <v>103.4</v>
      </c>
      <c r="U6" s="5">
        <v>66.3</v>
      </c>
      <c r="V6" s="5">
        <v>96.1</v>
      </c>
      <c r="W6" s="5"/>
      <c r="X6" s="5"/>
      <c r="Y6" s="5"/>
      <c r="Z6" s="5"/>
      <c r="AB6" s="5">
        <f>SUM(C6:F6)</f>
        <v>20.299999999999997</v>
      </c>
      <c r="AC6" s="5">
        <f>SUM(G6:J6)</f>
        <v>44</v>
      </c>
      <c r="AD6" s="5">
        <f>SUM(K6:N6)</f>
        <v>92.3</v>
      </c>
      <c r="AE6" s="5">
        <f>SUM(O6:R6)</f>
        <v>136.9</v>
      </c>
      <c r="AF6" s="11">
        <f t="shared" ref="AF6:AF9" si="2">SUM(S6:V6)</f>
        <v>305.79999999999995</v>
      </c>
      <c r="AG6" s="5">
        <f>AF6*1.12</f>
        <v>342.49599999999998</v>
      </c>
      <c r="AH6" s="5">
        <f>AG6*1.07</f>
        <v>366.47072000000003</v>
      </c>
      <c r="AI6" s="5">
        <f>AH6*1.05</f>
        <v>384.79425600000002</v>
      </c>
      <c r="AJ6" s="5">
        <f t="shared" ref="AJ6:AP6" si="3">AI6*1.05</f>
        <v>404.03396880000003</v>
      </c>
      <c r="AK6" s="5">
        <f t="shared" si="3"/>
        <v>424.23566724000005</v>
      </c>
      <c r="AL6" s="5">
        <f t="shared" si="3"/>
        <v>445.44745060200006</v>
      </c>
      <c r="AM6" s="5">
        <f t="shared" si="3"/>
        <v>467.71982313210009</v>
      </c>
      <c r="AN6" s="5">
        <f t="shared" si="3"/>
        <v>491.10581428870512</v>
      </c>
      <c r="AO6" s="5">
        <f t="shared" si="3"/>
        <v>515.66110500314039</v>
      </c>
      <c r="AP6" s="5">
        <f t="shared" si="3"/>
        <v>541.44416025329747</v>
      </c>
    </row>
    <row r="7" spans="2:42" x14ac:dyDescent="0.3">
      <c r="B7" t="s">
        <v>27</v>
      </c>
      <c r="C7" s="5">
        <v>0.2</v>
      </c>
      <c r="D7" s="5">
        <v>0.9</v>
      </c>
      <c r="E7" s="5">
        <v>1.3</v>
      </c>
      <c r="F7" s="5">
        <v>0.8</v>
      </c>
      <c r="G7" s="5">
        <v>1.9</v>
      </c>
      <c r="H7" s="5">
        <v>2.1</v>
      </c>
      <c r="I7" s="5">
        <v>2</v>
      </c>
      <c r="J7" s="5">
        <v>2.4</v>
      </c>
      <c r="K7" s="5">
        <v>2.7</v>
      </c>
      <c r="L7" s="5">
        <v>3.6</v>
      </c>
      <c r="M7" s="5">
        <v>5</v>
      </c>
      <c r="N7" s="5">
        <v>7</v>
      </c>
      <c r="O7" s="5">
        <v>6.7</v>
      </c>
      <c r="P7" s="5">
        <v>6.1</v>
      </c>
      <c r="Q7" s="5">
        <v>6.6</v>
      </c>
      <c r="R7" s="5">
        <v>8.9</v>
      </c>
      <c r="S7" s="5">
        <v>8.6</v>
      </c>
      <c r="T7" s="5">
        <v>10.9</v>
      </c>
      <c r="U7" s="5">
        <v>14.4</v>
      </c>
      <c r="V7" s="5">
        <v>19.5</v>
      </c>
      <c r="W7" s="5"/>
      <c r="X7" s="5"/>
      <c r="Y7" s="5"/>
      <c r="Z7" s="5"/>
      <c r="AB7" s="5">
        <f>SUM(C7:F7)</f>
        <v>3.2</v>
      </c>
      <c r="AC7" s="5">
        <f>SUM(G7:J7)</f>
        <v>8.4</v>
      </c>
      <c r="AD7" s="5">
        <f>SUM(K7:N7)</f>
        <v>18.3</v>
      </c>
      <c r="AE7" s="5">
        <f>SUM(O7:R7)</f>
        <v>28.299999999999997</v>
      </c>
      <c r="AF7" s="11">
        <f t="shared" si="2"/>
        <v>53.4</v>
      </c>
      <c r="AG7" s="5">
        <f>AG3*0.3</f>
        <v>74.156999999999982</v>
      </c>
      <c r="AH7" s="5">
        <f>AH3*0.26</f>
        <v>112.47144999999999</v>
      </c>
      <c r="AI7" s="5">
        <f>AI3*0.24</f>
        <v>166.11167999999998</v>
      </c>
      <c r="AJ7" s="5">
        <f>AJ3*0.22</f>
        <v>228.40355999999997</v>
      </c>
      <c r="AK7" s="5">
        <f>AK3*0.2</f>
        <v>301.07741999999996</v>
      </c>
      <c r="AL7" s="5">
        <f>AL3*0.18</f>
        <v>338.71209749999991</v>
      </c>
      <c r="AM7" s="5">
        <f>AM3*0.17</f>
        <v>383.8737104999999</v>
      </c>
      <c r="AN7" s="5">
        <f>AN3*0.16</f>
        <v>415.48683959999988</v>
      </c>
      <c r="AO7" s="5">
        <f>AO3*0.15</f>
        <v>428.47080333749994</v>
      </c>
      <c r="AP7" s="5">
        <f>AP3*0.14</f>
        <v>419.90138727074998</v>
      </c>
    </row>
    <row r="8" spans="2:42" x14ac:dyDescent="0.3">
      <c r="B8" t="s">
        <v>28</v>
      </c>
      <c r="C8" s="5">
        <v>3</v>
      </c>
      <c r="D8" s="5">
        <v>2.9</v>
      </c>
      <c r="E8" s="5">
        <v>2.5</v>
      </c>
      <c r="F8" s="5">
        <v>5.4</v>
      </c>
      <c r="G8" s="5">
        <v>9.1999999999999993</v>
      </c>
      <c r="H8" s="5">
        <v>7.6</v>
      </c>
      <c r="I8" s="5">
        <v>10.1</v>
      </c>
      <c r="J8" s="5">
        <v>9.1</v>
      </c>
      <c r="K8" s="5">
        <v>10.6</v>
      </c>
      <c r="L8" s="5">
        <v>10.9</v>
      </c>
      <c r="M8" s="5">
        <v>13.9</v>
      </c>
      <c r="N8" s="5">
        <v>15.3</v>
      </c>
      <c r="O8" s="5">
        <v>14</v>
      </c>
      <c r="P8" s="5">
        <v>13.1</v>
      </c>
      <c r="Q8" s="5">
        <v>14.3</v>
      </c>
      <c r="R8" s="5">
        <v>29.7</v>
      </c>
      <c r="S8" s="5">
        <v>23.8</v>
      </c>
      <c r="T8" s="5">
        <v>48.1</v>
      </c>
      <c r="U8" s="5">
        <v>82.5</v>
      </c>
      <c r="V8" s="5">
        <v>90.7</v>
      </c>
      <c r="W8" s="5"/>
      <c r="X8" s="5"/>
      <c r="Y8" s="5"/>
      <c r="Z8" s="5"/>
      <c r="AB8" s="5">
        <f>SUM(C8:F8)</f>
        <v>13.8</v>
      </c>
      <c r="AC8" s="5">
        <f>SUM(G8:J8)</f>
        <v>36</v>
      </c>
      <c r="AD8" s="5">
        <f>SUM(K8:N8)</f>
        <v>50.7</v>
      </c>
      <c r="AE8" s="5">
        <f>SUM(O8:R8)</f>
        <v>71.100000000000009</v>
      </c>
      <c r="AF8" s="11">
        <f t="shared" si="2"/>
        <v>245.10000000000002</v>
      </c>
      <c r="AG8" s="5">
        <f>AF8*1.08</f>
        <v>264.70800000000003</v>
      </c>
      <c r="AH8" s="5">
        <f>AG8*1.06</f>
        <v>280.59048000000007</v>
      </c>
      <c r="AI8" s="5">
        <f>AH8*1.04</f>
        <v>291.8140992000001</v>
      </c>
      <c r="AJ8" s="5">
        <f>AI8*1.03</f>
        <v>300.5685221760001</v>
      </c>
      <c r="AK8" s="5">
        <f>AJ8*1.02</f>
        <v>306.57989261952008</v>
      </c>
      <c r="AL8" s="5">
        <f t="shared" ref="AL8:AP8" si="4">AK8*1.02</f>
        <v>312.71149047191051</v>
      </c>
      <c r="AM8" s="5">
        <f t="shared" si="4"/>
        <v>318.96572028134875</v>
      </c>
      <c r="AN8" s="5">
        <f t="shared" si="4"/>
        <v>325.34503468697574</v>
      </c>
      <c r="AO8" s="5">
        <f t="shared" si="4"/>
        <v>331.85193538071525</v>
      </c>
      <c r="AP8" s="5">
        <f t="shared" si="4"/>
        <v>338.48897408832954</v>
      </c>
    </row>
    <row r="9" spans="2:42" x14ac:dyDescent="0.3">
      <c r="B9" t="s">
        <v>29</v>
      </c>
      <c r="C9" s="5">
        <v>0.4</v>
      </c>
      <c r="D9" s="5">
        <v>0.5</v>
      </c>
      <c r="E9" s="5">
        <v>0.6</v>
      </c>
      <c r="F9" s="5">
        <v>1</v>
      </c>
      <c r="G9" s="5">
        <v>1.3</v>
      </c>
      <c r="H9" s="5">
        <v>1.5</v>
      </c>
      <c r="I9" s="5">
        <v>1.5</v>
      </c>
      <c r="J9" s="5">
        <v>1.4</v>
      </c>
      <c r="K9" s="5">
        <v>1.8</v>
      </c>
      <c r="L9" s="5">
        <v>2.2999999999999998</v>
      </c>
      <c r="M9" s="5">
        <v>2.7</v>
      </c>
      <c r="N9" s="5">
        <v>3.5</v>
      </c>
      <c r="O9" s="5">
        <v>4</v>
      </c>
      <c r="P9" s="5">
        <v>4.3</v>
      </c>
      <c r="Q9" s="5">
        <v>4.9000000000000004</v>
      </c>
      <c r="R9" s="5">
        <v>5.5</v>
      </c>
      <c r="S9" s="5">
        <v>6.6</v>
      </c>
      <c r="T9" s="5">
        <v>10.6</v>
      </c>
      <c r="U9" s="5">
        <v>24.2</v>
      </c>
      <c r="V9" s="5">
        <v>40.6</v>
      </c>
      <c r="W9" s="5"/>
      <c r="X9" s="5"/>
      <c r="Y9" s="5"/>
      <c r="Z9" s="5"/>
      <c r="AB9" s="5">
        <f>SUM(C9:F9)</f>
        <v>2.5</v>
      </c>
      <c r="AC9" s="5">
        <f>SUM(G9:J9)</f>
        <v>5.6999999999999993</v>
      </c>
      <c r="AD9" s="5">
        <f>SUM(K9:N9)</f>
        <v>10.3</v>
      </c>
      <c r="AE9" s="5">
        <f>SUM(O9:R9)</f>
        <v>18.700000000000003</v>
      </c>
      <c r="AF9" s="11">
        <f t="shared" si="2"/>
        <v>82</v>
      </c>
      <c r="AG9" s="5">
        <f>AF9*1.25</f>
        <v>102.5</v>
      </c>
      <c r="AH9" s="5">
        <f>AG9*1.1</f>
        <v>112.75000000000001</v>
      </c>
      <c r="AI9" s="5">
        <f>AH9*1.07</f>
        <v>120.64250000000003</v>
      </c>
      <c r="AJ9" s="5">
        <f>AI9*1.03</f>
        <v>124.26177500000003</v>
      </c>
      <c r="AK9" s="5">
        <f t="shared" ref="AK9:AP9" si="5">AJ9*1.03</f>
        <v>127.98962825000004</v>
      </c>
      <c r="AL9" s="5">
        <f t="shared" si="5"/>
        <v>131.82931709750005</v>
      </c>
      <c r="AM9" s="5">
        <f t="shared" si="5"/>
        <v>135.78419661042506</v>
      </c>
      <c r="AN9" s="5">
        <f t="shared" si="5"/>
        <v>139.85772250873782</v>
      </c>
      <c r="AO9" s="5">
        <f t="shared" si="5"/>
        <v>144.05345418399997</v>
      </c>
      <c r="AP9" s="5">
        <f t="shared" si="5"/>
        <v>148.37505780951997</v>
      </c>
    </row>
    <row r="10" spans="2:42" x14ac:dyDescent="0.3">
      <c r="B10" t="s">
        <v>30</v>
      </c>
      <c r="C10" s="5">
        <f t="shared" ref="C10:R10" si="6">SUM(C6:C9)</f>
        <v>7.3000000000000007</v>
      </c>
      <c r="D10" s="5">
        <f t="shared" si="6"/>
        <v>9.8000000000000007</v>
      </c>
      <c r="E10" s="5">
        <f t="shared" si="6"/>
        <v>10.6</v>
      </c>
      <c r="F10" s="5">
        <f t="shared" si="6"/>
        <v>12.100000000000001</v>
      </c>
      <c r="G10" s="5">
        <f t="shared" si="6"/>
        <v>19.7</v>
      </c>
      <c r="H10" s="5">
        <f t="shared" si="6"/>
        <v>20.9</v>
      </c>
      <c r="I10" s="5">
        <f t="shared" si="6"/>
        <v>26.9</v>
      </c>
      <c r="J10" s="5">
        <f t="shared" si="6"/>
        <v>26.599999999999994</v>
      </c>
      <c r="K10" s="5">
        <f t="shared" si="6"/>
        <v>31.3</v>
      </c>
      <c r="L10" s="5">
        <f t="shared" si="6"/>
        <v>36.699999999999996</v>
      </c>
      <c r="M10" s="5">
        <f t="shared" si="6"/>
        <v>46.2</v>
      </c>
      <c r="N10" s="5">
        <f t="shared" si="6"/>
        <v>57.400000000000006</v>
      </c>
      <c r="O10" s="5">
        <f t="shared" si="6"/>
        <v>57.1</v>
      </c>
      <c r="P10" s="5">
        <f t="shared" si="6"/>
        <v>54.699999999999996</v>
      </c>
      <c r="Q10" s="5">
        <f t="shared" si="6"/>
        <v>59.000000000000007</v>
      </c>
      <c r="R10" s="5">
        <f t="shared" si="6"/>
        <v>84.2</v>
      </c>
      <c r="S10" s="5">
        <f t="shared" ref="S10:T10" si="7">SUM(S6:S9)</f>
        <v>79</v>
      </c>
      <c r="T10" s="5">
        <f t="shared" si="7"/>
        <v>173</v>
      </c>
      <c r="U10" s="5">
        <f t="shared" ref="U10:V10" si="8">SUM(U6:U9)</f>
        <v>187.39999999999998</v>
      </c>
      <c r="V10" s="5">
        <f t="shared" si="8"/>
        <v>246.9</v>
      </c>
      <c r="W10" s="5"/>
      <c r="X10" s="5"/>
      <c r="Y10" s="5"/>
      <c r="Z10" s="5"/>
      <c r="AB10" s="5">
        <f>SUM(AB6:AB9)</f>
        <v>39.799999999999997</v>
      </c>
      <c r="AC10" s="5">
        <f>SUM(AC6:AC9)</f>
        <v>94.100000000000009</v>
      </c>
      <c r="AD10" s="5">
        <f>SUM(AD6:AD9)</f>
        <v>171.60000000000002</v>
      </c>
      <c r="AE10" s="5">
        <f>SUM(AE6:AE9)</f>
        <v>255</v>
      </c>
      <c r="AF10" s="5">
        <f t="shared" ref="AF10:AP10" si="9">SUM(AF6:AF9)</f>
        <v>686.3</v>
      </c>
      <c r="AG10" s="5">
        <f t="shared" si="9"/>
        <v>783.86099999999999</v>
      </c>
      <c r="AH10" s="5">
        <f t="shared" si="9"/>
        <v>872.2826500000001</v>
      </c>
      <c r="AI10" s="5">
        <f t="shared" si="9"/>
        <v>963.36253520000014</v>
      </c>
      <c r="AJ10" s="5">
        <f t="shared" si="9"/>
        <v>1057.267825976</v>
      </c>
      <c r="AK10" s="5">
        <f t="shared" si="9"/>
        <v>1159.8826081095201</v>
      </c>
      <c r="AL10" s="5">
        <f t="shared" si="9"/>
        <v>1228.7003556714105</v>
      </c>
      <c r="AM10" s="5">
        <f t="shared" si="9"/>
        <v>1306.3434505238738</v>
      </c>
      <c r="AN10" s="5">
        <f t="shared" si="9"/>
        <v>1371.7954110844184</v>
      </c>
      <c r="AO10" s="5">
        <f t="shared" si="9"/>
        <v>1420.0372979053557</v>
      </c>
      <c r="AP10" s="5">
        <f t="shared" si="9"/>
        <v>1448.2095794218972</v>
      </c>
    </row>
    <row r="11" spans="2:42" s="1" customFormat="1" x14ac:dyDescent="0.3">
      <c r="B11" s="1" t="s">
        <v>31</v>
      </c>
      <c r="C11" s="8">
        <f t="shared" ref="C11:R11" si="10">C5-C10</f>
        <v>-7.4</v>
      </c>
      <c r="D11" s="8">
        <f t="shared" si="10"/>
        <v>-10</v>
      </c>
      <c r="E11" s="8">
        <f t="shared" si="10"/>
        <v>-10.6</v>
      </c>
      <c r="F11" s="8">
        <f t="shared" si="10"/>
        <v>-10.8</v>
      </c>
      <c r="G11" s="8">
        <f t="shared" si="10"/>
        <v>-18.3</v>
      </c>
      <c r="H11" s="8">
        <f t="shared" si="10"/>
        <v>-19</v>
      </c>
      <c r="I11" s="8">
        <f t="shared" si="10"/>
        <v>-24.799999999999997</v>
      </c>
      <c r="J11" s="8">
        <f t="shared" si="10"/>
        <v>-23.699999999999996</v>
      </c>
      <c r="K11" s="8">
        <f t="shared" si="10"/>
        <v>-28</v>
      </c>
      <c r="L11" s="8">
        <f t="shared" si="10"/>
        <v>-33.099999999999994</v>
      </c>
      <c r="M11" s="8">
        <f t="shared" si="10"/>
        <v>-42.1</v>
      </c>
      <c r="N11" s="8">
        <f t="shared" si="10"/>
        <v>-54.500000000000007</v>
      </c>
      <c r="O11" s="8">
        <f t="shared" si="10"/>
        <v>-52.900000000000006</v>
      </c>
      <c r="P11" s="8">
        <f t="shared" si="10"/>
        <v>-48.899999999999991</v>
      </c>
      <c r="Q11" s="8">
        <f t="shared" si="10"/>
        <v>-53.100000000000009</v>
      </c>
      <c r="R11" s="8">
        <f t="shared" si="10"/>
        <v>-77.5</v>
      </c>
      <c r="S11" s="8">
        <f t="shared" ref="S11:T11" si="11">S5-S10</f>
        <v>-75.7</v>
      </c>
      <c r="T11" s="8">
        <f t="shared" si="11"/>
        <v>-160.6</v>
      </c>
      <c r="U11" s="8">
        <f t="shared" ref="U11:V11" si="12">U5-U10</f>
        <v>-168.79999999999998</v>
      </c>
      <c r="V11" s="8">
        <f t="shared" si="12"/>
        <v>-228.60000000000002</v>
      </c>
      <c r="W11" s="8"/>
      <c r="X11" s="8"/>
      <c r="Y11" s="8"/>
      <c r="Z11" s="8"/>
      <c r="AB11" s="8">
        <f>AB5-AB10</f>
        <v>-38.799999999999997</v>
      </c>
      <c r="AC11" s="8">
        <f>AC5-AC10</f>
        <v>-85.800000000000011</v>
      </c>
      <c r="AD11" s="8">
        <f>AD5-AD10</f>
        <v>-157.70000000000002</v>
      </c>
      <c r="AE11" s="8">
        <f>AE5-AE10</f>
        <v>-232.4</v>
      </c>
      <c r="AF11" s="8">
        <f t="shared" ref="AF11:AP11" si="13">AF5-AF10</f>
        <v>-633.69999999999993</v>
      </c>
      <c r="AG11" s="8">
        <f t="shared" si="13"/>
        <v>-657.79409999999996</v>
      </c>
      <c r="AH11" s="8">
        <f t="shared" si="13"/>
        <v>-647.33975000000009</v>
      </c>
      <c r="AI11" s="8">
        <f t="shared" si="13"/>
        <v>-603.45389520000015</v>
      </c>
      <c r="AJ11" s="8">
        <f t="shared" si="13"/>
        <v>-496.64090597600011</v>
      </c>
      <c r="AK11" s="8">
        <f t="shared" si="13"/>
        <v>-316.86583210952017</v>
      </c>
      <c r="AL11" s="8">
        <f t="shared" si="13"/>
        <v>-137.29470817141078</v>
      </c>
      <c r="AM11" s="8">
        <f t="shared" si="13"/>
        <v>48.504939476125855</v>
      </c>
      <c r="AN11" s="8">
        <f t="shared" si="13"/>
        <v>212.24816489058094</v>
      </c>
      <c r="AO11" s="8">
        <f t="shared" si="13"/>
        <v>350.97535588964411</v>
      </c>
      <c r="AP11" s="8">
        <f t="shared" si="13"/>
        <v>411.35370706285266</v>
      </c>
    </row>
    <row r="12" spans="2:42" x14ac:dyDescent="0.3">
      <c r="B12" t="s">
        <v>32</v>
      </c>
      <c r="C12" s="5">
        <v>0</v>
      </c>
      <c r="D12" s="5">
        <v>0</v>
      </c>
      <c r="E12" s="5">
        <v>0</v>
      </c>
      <c r="F12" s="5">
        <v>63.3</v>
      </c>
      <c r="G12" s="5">
        <v>-13.4</v>
      </c>
      <c r="H12" s="5">
        <v>-16.100000000000001</v>
      </c>
      <c r="I12" s="5">
        <v>1.2</v>
      </c>
      <c r="J12" s="5">
        <v>-1.8</v>
      </c>
      <c r="K12" s="5">
        <v>3.6</v>
      </c>
      <c r="L12" s="5">
        <v>15.5</v>
      </c>
      <c r="M12" s="5">
        <v>7.6</v>
      </c>
      <c r="N12" s="5">
        <v>-7.6</v>
      </c>
      <c r="O12" s="5">
        <v>-8.6</v>
      </c>
      <c r="P12" s="5">
        <v>-6.6</v>
      </c>
      <c r="Q12" s="5">
        <v>3.9</v>
      </c>
      <c r="R12" s="5">
        <v>128.5</v>
      </c>
      <c r="S12" s="5">
        <v>-38.5</v>
      </c>
      <c r="T12" s="5">
        <v>39.6</v>
      </c>
      <c r="U12" s="5">
        <v>881.8</v>
      </c>
      <c r="V12" s="5">
        <v>-949.6</v>
      </c>
      <c r="W12" s="5"/>
      <c r="X12" s="5"/>
      <c r="Y12" s="5"/>
      <c r="Z12" s="5"/>
      <c r="AB12" s="5">
        <f>SUM(C12:F12)</f>
        <v>63.3</v>
      </c>
      <c r="AC12" s="5">
        <f>SUM(G12:J12)</f>
        <v>-30.1</v>
      </c>
      <c r="AD12" s="5">
        <f>SUM(K12:N12)</f>
        <v>19.100000000000001</v>
      </c>
      <c r="AE12" s="5">
        <f>SUM(O12:R12)</f>
        <v>117.2</v>
      </c>
      <c r="AF12" s="11">
        <f t="shared" ref="AF12:AF14" si="14">SUM(S12:V12)</f>
        <v>-66.700000000000045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</row>
    <row r="13" spans="2:42" x14ac:dyDescent="0.3">
      <c r="B13" t="s">
        <v>33</v>
      </c>
      <c r="C13" s="5">
        <v>0</v>
      </c>
      <c r="D13" s="5">
        <v>0</v>
      </c>
      <c r="E13" s="5">
        <v>0</v>
      </c>
      <c r="F13" s="5">
        <v>-0.1</v>
      </c>
      <c r="G13" s="5">
        <v>-0.6</v>
      </c>
      <c r="H13" s="5">
        <v>-1.3</v>
      </c>
      <c r="I13" s="5">
        <v>-2.1</v>
      </c>
      <c r="J13" s="5">
        <v>-3.2</v>
      </c>
      <c r="K13" s="5">
        <v>-4.2</v>
      </c>
      <c r="L13" s="5">
        <v>-4.9000000000000004</v>
      </c>
      <c r="M13" s="5">
        <v>-5</v>
      </c>
      <c r="N13" s="5">
        <v>-5.2</v>
      </c>
      <c r="O13" s="5">
        <v>-4.8</v>
      </c>
      <c r="P13" s="5">
        <v>-4.8</v>
      </c>
      <c r="Q13" s="5">
        <v>-4.5</v>
      </c>
      <c r="R13" s="5">
        <v>-4.0999999999999996</v>
      </c>
      <c r="S13" s="5">
        <v>-4.9000000000000004</v>
      </c>
      <c r="T13" s="5">
        <v>-7.1</v>
      </c>
      <c r="U13" s="5">
        <v>-14.4</v>
      </c>
      <c r="V13" s="5">
        <v>-29.5</v>
      </c>
      <c r="W13" s="5"/>
      <c r="X13" s="5"/>
      <c r="Y13" s="5"/>
      <c r="Z13" s="5"/>
      <c r="AB13" s="5">
        <f>SUM(C13:F13)</f>
        <v>-0.1</v>
      </c>
      <c r="AC13" s="5">
        <f>SUM(G13:J13)</f>
        <v>-7.2</v>
      </c>
      <c r="AD13" s="5">
        <f>SUM(K13:N13)</f>
        <v>-19.3</v>
      </c>
      <c r="AE13" s="5">
        <f>SUM(O13:R13)</f>
        <v>-18.2</v>
      </c>
      <c r="AF13" s="11">
        <f t="shared" si="14"/>
        <v>-55.9</v>
      </c>
      <c r="AG13" s="5">
        <f t="shared" ref="AG13:AP13" si="15">AF13*1.03</f>
        <v>-57.576999999999998</v>
      </c>
      <c r="AH13" s="5">
        <f t="shared" si="15"/>
        <v>-59.304310000000001</v>
      </c>
      <c r="AI13" s="5">
        <f t="shared" si="15"/>
        <v>-61.083439300000002</v>
      </c>
      <c r="AJ13" s="5">
        <f t="shared" si="15"/>
        <v>-62.915942479000002</v>
      </c>
      <c r="AK13" s="5">
        <f t="shared" si="15"/>
        <v>-64.803420753370006</v>
      </c>
      <c r="AL13" s="5">
        <f t="shared" si="15"/>
        <v>-66.747523375971113</v>
      </c>
      <c r="AM13" s="5">
        <f t="shared" si="15"/>
        <v>-68.74994907725025</v>
      </c>
      <c r="AN13" s="5">
        <f t="shared" si="15"/>
        <v>-70.812447549567764</v>
      </c>
      <c r="AO13" s="5">
        <f t="shared" si="15"/>
        <v>-72.936820976054804</v>
      </c>
      <c r="AP13" s="5">
        <f t="shared" si="15"/>
        <v>-75.124925605336443</v>
      </c>
    </row>
    <row r="14" spans="2:42" x14ac:dyDescent="0.3">
      <c r="B14" t="s">
        <v>34</v>
      </c>
      <c r="C14" s="5">
        <v>0</v>
      </c>
      <c r="D14" s="5">
        <v>0</v>
      </c>
      <c r="E14" s="5">
        <v>4.3</v>
      </c>
      <c r="F14" s="5">
        <v>0</v>
      </c>
      <c r="G14" s="5">
        <v>0</v>
      </c>
      <c r="H14" s="5">
        <v>-0.1</v>
      </c>
      <c r="I14" s="5">
        <v>0</v>
      </c>
      <c r="J14" s="5">
        <v>0</v>
      </c>
      <c r="K14" s="5">
        <v>-0.1</v>
      </c>
      <c r="L14" s="5">
        <v>0</v>
      </c>
      <c r="M14" s="5">
        <v>-0.1</v>
      </c>
      <c r="N14" s="5">
        <v>0.2</v>
      </c>
      <c r="O14" s="5">
        <v>0.1</v>
      </c>
      <c r="P14" s="5">
        <v>0.1</v>
      </c>
      <c r="Q14" s="5">
        <v>0</v>
      </c>
      <c r="R14" s="5">
        <v>0.1</v>
      </c>
      <c r="S14" s="5">
        <v>-0.1</v>
      </c>
      <c r="T14" s="5">
        <v>-0.2</v>
      </c>
      <c r="U14" s="5">
        <f>22.8+1</f>
        <v>23.8</v>
      </c>
      <c r="V14" s="5">
        <f>22.9-0.7</f>
        <v>22.2</v>
      </c>
      <c r="W14" s="5"/>
      <c r="X14" s="5"/>
      <c r="Y14" s="5"/>
      <c r="Z14" s="5"/>
      <c r="AB14" s="5">
        <f>SUM(C14:F14)</f>
        <v>4.3</v>
      </c>
      <c r="AC14" s="5">
        <f>SUM(G14:J14)</f>
        <v>-0.1</v>
      </c>
      <c r="AD14" s="5">
        <f>SUM(K14:N14)</f>
        <v>0</v>
      </c>
      <c r="AE14" s="5">
        <f>SUM(O14:R14)</f>
        <v>0.30000000000000004</v>
      </c>
      <c r="AF14" s="11">
        <f t="shared" si="14"/>
        <v>45.7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</row>
    <row r="15" spans="2:42" x14ac:dyDescent="0.3">
      <c r="B15" t="s">
        <v>39</v>
      </c>
      <c r="C15" s="5">
        <f t="shared" ref="C15:R15" si="16">SUM(C12:C14)</f>
        <v>0</v>
      </c>
      <c r="D15" s="5">
        <f t="shared" si="16"/>
        <v>0</v>
      </c>
      <c r="E15" s="5">
        <f t="shared" si="16"/>
        <v>4.3</v>
      </c>
      <c r="F15" s="5">
        <f t="shared" si="16"/>
        <v>63.199999999999996</v>
      </c>
      <c r="G15" s="5">
        <f t="shared" si="16"/>
        <v>-14</v>
      </c>
      <c r="H15" s="5">
        <f t="shared" si="16"/>
        <v>-17.500000000000004</v>
      </c>
      <c r="I15" s="5">
        <f t="shared" si="16"/>
        <v>-0.90000000000000013</v>
      </c>
      <c r="J15" s="5">
        <f t="shared" si="16"/>
        <v>-5</v>
      </c>
      <c r="K15" s="5">
        <f t="shared" si="16"/>
        <v>-0.70000000000000007</v>
      </c>
      <c r="L15" s="5">
        <f t="shared" si="16"/>
        <v>10.6</v>
      </c>
      <c r="M15" s="5">
        <f t="shared" si="16"/>
        <v>2.4999999999999996</v>
      </c>
      <c r="N15" s="5">
        <f t="shared" si="16"/>
        <v>-12.600000000000001</v>
      </c>
      <c r="O15" s="5">
        <f t="shared" si="16"/>
        <v>-13.299999999999999</v>
      </c>
      <c r="P15" s="5">
        <f t="shared" si="16"/>
        <v>-11.299999999999999</v>
      </c>
      <c r="Q15" s="5">
        <f t="shared" si="16"/>
        <v>-0.60000000000000009</v>
      </c>
      <c r="R15" s="5">
        <f t="shared" si="16"/>
        <v>124.5</v>
      </c>
      <c r="S15" s="5">
        <f t="shared" ref="S15:T15" si="17">SUM(S12:S14)</f>
        <v>-43.5</v>
      </c>
      <c r="T15" s="5">
        <f t="shared" si="17"/>
        <v>32.299999999999997</v>
      </c>
      <c r="U15" s="5">
        <f t="shared" ref="U15:V15" si="18">SUM(U12:U14)</f>
        <v>891.19999999999993</v>
      </c>
      <c r="V15" s="5">
        <f t="shared" si="18"/>
        <v>-956.9</v>
      </c>
      <c r="W15" s="5"/>
      <c r="X15" s="5"/>
      <c r="Y15" s="5"/>
      <c r="Z15" s="5"/>
      <c r="AB15" s="5">
        <f>SUM(AB12:AB14)</f>
        <v>67.5</v>
      </c>
      <c r="AC15" s="5">
        <f>SUM(AC12:AC14)</f>
        <v>-37.400000000000006</v>
      </c>
      <c r="AD15" s="5">
        <f>SUM(AD12:AD14)</f>
        <v>-0.19999999999999929</v>
      </c>
      <c r="AE15" s="5">
        <f>SUM(AE12:AE14)</f>
        <v>99.3</v>
      </c>
      <c r="AF15" s="5">
        <f t="shared" ref="AF15:AP15" si="19">SUM(AF12:AF14)</f>
        <v>-76.900000000000048</v>
      </c>
      <c r="AG15" s="5">
        <f t="shared" si="19"/>
        <v>-57.576999999999998</v>
      </c>
      <c r="AH15" s="5">
        <f t="shared" si="19"/>
        <v>-59.304310000000001</v>
      </c>
      <c r="AI15" s="5">
        <f t="shared" si="19"/>
        <v>-61.083439300000002</v>
      </c>
      <c r="AJ15" s="5">
        <f t="shared" si="19"/>
        <v>-62.915942479000002</v>
      </c>
      <c r="AK15" s="5">
        <f t="shared" si="19"/>
        <v>-64.803420753370006</v>
      </c>
      <c r="AL15" s="5">
        <f t="shared" si="19"/>
        <v>-66.747523375971113</v>
      </c>
      <c r="AM15" s="5">
        <f t="shared" si="19"/>
        <v>-68.74994907725025</v>
      </c>
      <c r="AN15" s="5">
        <f t="shared" si="19"/>
        <v>-70.812447549567764</v>
      </c>
      <c r="AO15" s="5">
        <f t="shared" si="19"/>
        <v>-72.936820976054804</v>
      </c>
      <c r="AP15" s="5">
        <f t="shared" si="19"/>
        <v>-75.124925605336443</v>
      </c>
    </row>
    <row r="16" spans="2:42" s="1" customFormat="1" x14ac:dyDescent="0.3">
      <c r="B16" s="1" t="s">
        <v>35</v>
      </c>
      <c r="C16" s="8">
        <f t="shared" ref="C16:R16" si="20">C11-C15</f>
        <v>-7.4</v>
      </c>
      <c r="D16" s="8">
        <f t="shared" si="20"/>
        <v>-10</v>
      </c>
      <c r="E16" s="8">
        <f t="shared" si="20"/>
        <v>-14.899999999999999</v>
      </c>
      <c r="F16" s="8">
        <f t="shared" si="20"/>
        <v>-74</v>
      </c>
      <c r="G16" s="8">
        <f t="shared" si="20"/>
        <v>-4.3000000000000007</v>
      </c>
      <c r="H16" s="8">
        <f t="shared" si="20"/>
        <v>-1.4999999999999964</v>
      </c>
      <c r="I16" s="8">
        <f t="shared" si="20"/>
        <v>-23.9</v>
      </c>
      <c r="J16" s="8">
        <f t="shared" si="20"/>
        <v>-18.699999999999996</v>
      </c>
      <c r="K16" s="8">
        <f t="shared" si="20"/>
        <v>-27.3</v>
      </c>
      <c r="L16" s="8">
        <f t="shared" si="20"/>
        <v>-43.699999999999996</v>
      </c>
      <c r="M16" s="8">
        <f t="shared" si="20"/>
        <v>-44.6</v>
      </c>
      <c r="N16" s="8">
        <f t="shared" si="20"/>
        <v>-41.900000000000006</v>
      </c>
      <c r="O16" s="8">
        <f t="shared" si="20"/>
        <v>-39.600000000000009</v>
      </c>
      <c r="P16" s="8">
        <f t="shared" si="20"/>
        <v>-37.599999999999994</v>
      </c>
      <c r="Q16" s="8">
        <f t="shared" si="20"/>
        <v>-52.500000000000007</v>
      </c>
      <c r="R16" s="8">
        <f t="shared" si="20"/>
        <v>-202</v>
      </c>
      <c r="S16" s="8">
        <f t="shared" ref="S16:T16" si="21">S11-S15</f>
        <v>-32.200000000000003</v>
      </c>
      <c r="T16" s="8">
        <f t="shared" si="21"/>
        <v>-192.89999999999998</v>
      </c>
      <c r="U16" s="8">
        <f t="shared" ref="U16:V16" si="22">U11-U15</f>
        <v>-1060</v>
      </c>
      <c r="V16" s="8">
        <f t="shared" si="22"/>
        <v>728.3</v>
      </c>
      <c r="W16" s="8"/>
      <c r="X16" s="8"/>
      <c r="Y16" s="8"/>
      <c r="Z16" s="8"/>
      <c r="AB16" s="8">
        <f>AB11-AB15</f>
        <v>-106.3</v>
      </c>
      <c r="AC16" s="8">
        <f>AC11-AC15</f>
        <v>-48.400000000000006</v>
      </c>
      <c r="AD16" s="8">
        <f>AD11-AD15</f>
        <v>-157.50000000000003</v>
      </c>
      <c r="AE16" s="8">
        <f>AE11-AE15</f>
        <v>-331.7</v>
      </c>
      <c r="AF16" s="8">
        <f t="shared" ref="AF16:AP16" si="23">AF11-AF15</f>
        <v>-556.79999999999984</v>
      </c>
      <c r="AG16" s="8">
        <f t="shared" si="23"/>
        <v>-600.21709999999996</v>
      </c>
      <c r="AH16" s="8">
        <f t="shared" si="23"/>
        <v>-588.03544000000011</v>
      </c>
      <c r="AI16" s="8">
        <f t="shared" si="23"/>
        <v>-542.37045590000014</v>
      </c>
      <c r="AJ16" s="8">
        <f t="shared" si="23"/>
        <v>-433.72496349700009</v>
      </c>
      <c r="AK16" s="8">
        <f t="shared" si="23"/>
        <v>-252.06241135615016</v>
      </c>
      <c r="AL16" s="8">
        <f t="shared" si="23"/>
        <v>-70.547184795439662</v>
      </c>
      <c r="AM16" s="8">
        <f t="shared" si="23"/>
        <v>117.25488855337611</v>
      </c>
      <c r="AN16" s="8">
        <f t="shared" si="23"/>
        <v>283.0606124401487</v>
      </c>
      <c r="AO16" s="8">
        <f t="shared" si="23"/>
        <v>423.91217686569894</v>
      </c>
      <c r="AP16" s="8">
        <f t="shared" si="23"/>
        <v>486.47863266818911</v>
      </c>
    </row>
    <row r="17" spans="2:160" x14ac:dyDescent="0.3">
      <c r="B17" t="s">
        <v>36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-15.3</v>
      </c>
      <c r="U17" s="5">
        <v>-4.4000000000000004</v>
      </c>
      <c r="V17" s="5">
        <v>-24.9</v>
      </c>
      <c r="W17" s="5"/>
      <c r="X17" s="5"/>
      <c r="Y17" s="5"/>
      <c r="Z17" s="5"/>
      <c r="AB17" s="5">
        <f>SUM(C17:F17)</f>
        <v>0</v>
      </c>
      <c r="AC17" s="5">
        <f>SUM(G17:J17)</f>
        <v>0</v>
      </c>
      <c r="AD17" s="5">
        <f>SUM(K17:N17)</f>
        <v>0</v>
      </c>
      <c r="AE17" s="5">
        <f>SUM(O17:R17)</f>
        <v>0</v>
      </c>
      <c r="AF17" s="11">
        <f>SUM(S17:V17)</f>
        <v>-44.6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</row>
    <row r="18" spans="2:160" s="1" customFormat="1" x14ac:dyDescent="0.3">
      <c r="B18" s="1" t="s">
        <v>37</v>
      </c>
      <c r="C18" s="8">
        <f t="shared" ref="C18:R18" si="24">C16-C17</f>
        <v>-7.4</v>
      </c>
      <c r="D18" s="8">
        <f t="shared" si="24"/>
        <v>-10</v>
      </c>
      <c r="E18" s="8">
        <f t="shared" si="24"/>
        <v>-14.899999999999999</v>
      </c>
      <c r="F18" s="8">
        <f t="shared" si="24"/>
        <v>-74</v>
      </c>
      <c r="G18" s="8">
        <f t="shared" si="24"/>
        <v>-4.3000000000000007</v>
      </c>
      <c r="H18" s="8">
        <f t="shared" si="24"/>
        <v>-1.4999999999999964</v>
      </c>
      <c r="I18" s="8">
        <f t="shared" si="24"/>
        <v>-23.9</v>
      </c>
      <c r="J18" s="8">
        <f t="shared" si="24"/>
        <v>-18.699999999999996</v>
      </c>
      <c r="K18" s="8">
        <f t="shared" si="24"/>
        <v>-27.3</v>
      </c>
      <c r="L18" s="8">
        <f t="shared" si="24"/>
        <v>-43.699999999999996</v>
      </c>
      <c r="M18" s="8">
        <f t="shared" si="24"/>
        <v>-44.6</v>
      </c>
      <c r="N18" s="8">
        <f t="shared" si="24"/>
        <v>-41.900000000000006</v>
      </c>
      <c r="O18" s="8">
        <f t="shared" si="24"/>
        <v>-39.600000000000009</v>
      </c>
      <c r="P18" s="8">
        <f t="shared" si="24"/>
        <v>-37.599999999999994</v>
      </c>
      <c r="Q18" s="8">
        <f t="shared" si="24"/>
        <v>-52.500000000000007</v>
      </c>
      <c r="R18" s="8">
        <f t="shared" si="24"/>
        <v>-202</v>
      </c>
      <c r="S18" s="8">
        <f t="shared" ref="S18:V18" si="25">S16-S17</f>
        <v>-32.200000000000003</v>
      </c>
      <c r="T18" s="8">
        <f t="shared" si="25"/>
        <v>-177.59999999999997</v>
      </c>
      <c r="U18" s="8">
        <f t="shared" si="25"/>
        <v>-1055.5999999999999</v>
      </c>
      <c r="V18" s="8">
        <f t="shared" si="25"/>
        <v>753.19999999999993</v>
      </c>
      <c r="W18" s="8"/>
      <c r="X18" s="8"/>
      <c r="Y18" s="8"/>
      <c r="Z18" s="8"/>
      <c r="AB18" s="8">
        <f>AB16-AB17</f>
        <v>-106.3</v>
      </c>
      <c r="AC18" s="8">
        <f>AC16-AC17</f>
        <v>-48.400000000000006</v>
      </c>
      <c r="AD18" s="8">
        <f>AD16-AD17</f>
        <v>-157.50000000000003</v>
      </c>
      <c r="AE18" s="8">
        <f>AE16-AE17</f>
        <v>-331.7</v>
      </c>
      <c r="AF18" s="8">
        <f>AF16-AF17</f>
        <v>-512.19999999999982</v>
      </c>
      <c r="AG18" s="8">
        <f t="shared" ref="AG18:AP18" si="26">AG16-AG17</f>
        <v>-600.21709999999996</v>
      </c>
      <c r="AH18" s="8">
        <f t="shared" si="26"/>
        <v>-588.03544000000011</v>
      </c>
      <c r="AI18" s="8">
        <f t="shared" si="26"/>
        <v>-542.37045590000014</v>
      </c>
      <c r="AJ18" s="8">
        <f t="shared" si="26"/>
        <v>-433.72496349700009</v>
      </c>
      <c r="AK18" s="8">
        <f t="shared" si="26"/>
        <v>-252.06241135615016</v>
      </c>
      <c r="AL18" s="8">
        <f t="shared" si="26"/>
        <v>-70.547184795439662</v>
      </c>
      <c r="AM18" s="8">
        <f t="shared" si="26"/>
        <v>117.25488855337611</v>
      </c>
      <c r="AN18" s="8">
        <f t="shared" si="26"/>
        <v>283.0606124401487</v>
      </c>
      <c r="AO18" s="8">
        <f t="shared" si="26"/>
        <v>423.91217686569894</v>
      </c>
      <c r="AP18" s="8">
        <f t="shared" si="26"/>
        <v>486.47863266818911</v>
      </c>
      <c r="AQ18" s="1">
        <f>AP18*(1+$AT$23)</f>
        <v>481.61384634150721</v>
      </c>
      <c r="AR18" s="1">
        <f t="shared" ref="AR18:DC18" si="27">AQ18*(1+$AT$23)</f>
        <v>476.79770787809213</v>
      </c>
      <c r="AS18" s="1">
        <f t="shared" si="27"/>
        <v>472.02973079931121</v>
      </c>
      <c r="AT18" s="1">
        <f t="shared" si="27"/>
        <v>467.30943349131809</v>
      </c>
      <c r="AU18" s="1">
        <f t="shared" si="27"/>
        <v>462.63633915640492</v>
      </c>
      <c r="AV18" s="1">
        <f t="shared" si="27"/>
        <v>458.00997576484087</v>
      </c>
      <c r="AW18" s="1">
        <f t="shared" si="27"/>
        <v>453.42987600719243</v>
      </c>
      <c r="AX18" s="1">
        <f t="shared" si="27"/>
        <v>448.89557724712051</v>
      </c>
      <c r="AY18" s="1">
        <f t="shared" si="27"/>
        <v>444.40662147464928</v>
      </c>
      <c r="AZ18" s="1">
        <f t="shared" si="27"/>
        <v>439.96255525990279</v>
      </c>
      <c r="BA18" s="1">
        <f t="shared" si="27"/>
        <v>435.56292970730374</v>
      </c>
      <c r="BB18" s="1">
        <f t="shared" si="27"/>
        <v>431.20730041023069</v>
      </c>
      <c r="BC18" s="1">
        <f t="shared" si="27"/>
        <v>426.89522740612836</v>
      </c>
      <c r="BD18" s="1">
        <f t="shared" si="27"/>
        <v>422.62627513206706</v>
      </c>
      <c r="BE18" s="1">
        <f t="shared" si="27"/>
        <v>418.40001238074638</v>
      </c>
      <c r="BF18" s="1">
        <f t="shared" si="27"/>
        <v>414.21601225693888</v>
      </c>
      <c r="BG18" s="1">
        <f t="shared" si="27"/>
        <v>410.07385213436947</v>
      </c>
      <c r="BH18" s="1">
        <f t="shared" si="27"/>
        <v>405.97311361302576</v>
      </c>
      <c r="BI18" s="1">
        <f t="shared" si="27"/>
        <v>401.91338247689549</v>
      </c>
      <c r="BJ18" s="1">
        <f t="shared" si="27"/>
        <v>397.89424865212652</v>
      </c>
      <c r="BK18" s="1">
        <f t="shared" si="27"/>
        <v>393.91530616560527</v>
      </c>
      <c r="BL18" s="1">
        <f t="shared" si="27"/>
        <v>389.97615310394923</v>
      </c>
      <c r="BM18" s="1">
        <f t="shared" si="27"/>
        <v>386.07639157290976</v>
      </c>
      <c r="BN18" s="1">
        <f t="shared" si="27"/>
        <v>382.21562765718068</v>
      </c>
      <c r="BO18" s="1">
        <f t="shared" si="27"/>
        <v>378.39347138060884</v>
      </c>
      <c r="BP18" s="1">
        <f t="shared" si="27"/>
        <v>374.60953666680274</v>
      </c>
      <c r="BQ18" s="1">
        <f t="shared" si="27"/>
        <v>370.8634413001347</v>
      </c>
      <c r="BR18" s="1">
        <f t="shared" si="27"/>
        <v>367.15480688713336</v>
      </c>
      <c r="BS18" s="1">
        <f t="shared" si="27"/>
        <v>363.48325881826202</v>
      </c>
      <c r="BT18" s="1">
        <f t="shared" si="27"/>
        <v>359.84842623007938</v>
      </c>
      <c r="BU18" s="1">
        <f t="shared" si="27"/>
        <v>356.24994196777857</v>
      </c>
      <c r="BV18" s="1">
        <f t="shared" si="27"/>
        <v>352.68744254810076</v>
      </c>
      <c r="BW18" s="1">
        <f t="shared" si="27"/>
        <v>349.16056812261974</v>
      </c>
      <c r="BX18" s="1">
        <f t="shared" si="27"/>
        <v>345.66896244139355</v>
      </c>
      <c r="BY18" s="1">
        <f t="shared" si="27"/>
        <v>342.21227281697963</v>
      </c>
      <c r="BZ18" s="1">
        <f t="shared" si="27"/>
        <v>338.79015008880981</v>
      </c>
      <c r="CA18" s="1">
        <f t="shared" si="27"/>
        <v>335.40224858792169</v>
      </c>
      <c r="CB18" s="1">
        <f t="shared" si="27"/>
        <v>332.04822610204246</v>
      </c>
      <c r="CC18" s="1">
        <f t="shared" si="27"/>
        <v>328.72774384102206</v>
      </c>
      <c r="CD18" s="1">
        <f t="shared" si="27"/>
        <v>325.44046640261183</v>
      </c>
      <c r="CE18" s="1">
        <f t="shared" si="27"/>
        <v>322.18606173858569</v>
      </c>
      <c r="CF18" s="1">
        <f t="shared" si="27"/>
        <v>318.96420112119984</v>
      </c>
      <c r="CG18" s="1">
        <f t="shared" si="27"/>
        <v>315.77455910998782</v>
      </c>
      <c r="CH18" s="1">
        <f t="shared" si="27"/>
        <v>312.61681351888797</v>
      </c>
      <c r="CI18" s="1">
        <f t="shared" si="27"/>
        <v>309.49064538369907</v>
      </c>
      <c r="CJ18" s="1">
        <f t="shared" si="27"/>
        <v>306.39573892986209</v>
      </c>
      <c r="CK18" s="1">
        <f t="shared" si="27"/>
        <v>303.33178154056344</v>
      </c>
      <c r="CL18" s="1">
        <f t="shared" si="27"/>
        <v>300.29846372515783</v>
      </c>
      <c r="CM18" s="1">
        <f t="shared" si="27"/>
        <v>297.29547908790624</v>
      </c>
      <c r="CN18" s="1">
        <f t="shared" si="27"/>
        <v>294.3225242970272</v>
      </c>
      <c r="CO18" s="1">
        <f t="shared" si="27"/>
        <v>291.3792990540569</v>
      </c>
      <c r="CP18" s="1">
        <f t="shared" si="27"/>
        <v>288.46550606351633</v>
      </c>
      <c r="CQ18" s="1">
        <f t="shared" si="27"/>
        <v>285.58085100288116</v>
      </c>
      <c r="CR18" s="1">
        <f t="shared" si="27"/>
        <v>282.72504249285237</v>
      </c>
      <c r="CS18" s="1">
        <f t="shared" si="27"/>
        <v>279.89779206792383</v>
      </c>
      <c r="CT18" s="1">
        <f t="shared" si="27"/>
        <v>277.09881414724458</v>
      </c>
      <c r="CU18" s="1">
        <f t="shared" si="27"/>
        <v>274.32782600577212</v>
      </c>
      <c r="CV18" s="1">
        <f t="shared" si="27"/>
        <v>271.58454774571442</v>
      </c>
      <c r="CW18" s="1">
        <f t="shared" si="27"/>
        <v>268.86870226825727</v>
      </c>
      <c r="CX18" s="1">
        <f t="shared" si="27"/>
        <v>266.18001524557468</v>
      </c>
      <c r="CY18" s="1">
        <f t="shared" si="27"/>
        <v>263.51821509311895</v>
      </c>
      <c r="CZ18" s="1">
        <f t="shared" si="27"/>
        <v>260.88303294218775</v>
      </c>
      <c r="DA18" s="1">
        <f t="shared" si="27"/>
        <v>258.27420261276586</v>
      </c>
      <c r="DB18" s="1">
        <f t="shared" si="27"/>
        <v>255.69146058663821</v>
      </c>
      <c r="DC18" s="1">
        <f t="shared" si="27"/>
        <v>253.13454598077183</v>
      </c>
      <c r="DD18" s="1">
        <f t="shared" ref="DD18:FD18" si="28">DC18*(1+$AT$23)</f>
        <v>250.60320052096412</v>
      </c>
      <c r="DE18" s="1">
        <f t="shared" si="28"/>
        <v>248.09716851575448</v>
      </c>
      <c r="DF18" s="1">
        <f t="shared" si="28"/>
        <v>245.61619683059692</v>
      </c>
      <c r="DG18" s="1">
        <f t="shared" si="28"/>
        <v>243.16003486229096</v>
      </c>
      <c r="DH18" s="1">
        <f t="shared" si="28"/>
        <v>240.72843451366805</v>
      </c>
      <c r="DI18" s="1">
        <f t="shared" si="28"/>
        <v>238.32115016853137</v>
      </c>
      <c r="DJ18" s="1">
        <f t="shared" si="28"/>
        <v>235.93793866684607</v>
      </c>
      <c r="DK18" s="1">
        <f t="shared" si="28"/>
        <v>233.57855928017761</v>
      </c>
      <c r="DL18" s="1">
        <f t="shared" si="28"/>
        <v>231.24277368737583</v>
      </c>
      <c r="DM18" s="1">
        <f t="shared" si="28"/>
        <v>228.93034595050207</v>
      </c>
      <c r="DN18" s="1">
        <f t="shared" si="28"/>
        <v>226.64104249099705</v>
      </c>
      <c r="DO18" s="1">
        <f t="shared" si="28"/>
        <v>224.37463206608709</v>
      </c>
      <c r="DP18" s="1">
        <f t="shared" si="28"/>
        <v>222.13088574542621</v>
      </c>
      <c r="DQ18" s="1">
        <f t="shared" si="28"/>
        <v>219.90957688797195</v>
      </c>
      <c r="DR18" s="1">
        <f t="shared" si="28"/>
        <v>217.71048111909224</v>
      </c>
      <c r="DS18" s="1">
        <f t="shared" si="28"/>
        <v>215.53337630790131</v>
      </c>
      <c r="DT18" s="1">
        <f t="shared" si="28"/>
        <v>213.37804254482228</v>
      </c>
      <c r="DU18" s="1">
        <f t="shared" si="28"/>
        <v>211.24426211937404</v>
      </c>
      <c r="DV18" s="1">
        <f t="shared" si="28"/>
        <v>209.13181949818031</v>
      </c>
      <c r="DW18" s="1">
        <f t="shared" si="28"/>
        <v>207.04050130319851</v>
      </c>
      <c r="DX18" s="1">
        <f t="shared" si="28"/>
        <v>204.97009629016654</v>
      </c>
      <c r="DY18" s="1">
        <f t="shared" si="28"/>
        <v>202.92039532726488</v>
      </c>
      <c r="DZ18" s="1">
        <f t="shared" si="28"/>
        <v>200.89119137399223</v>
      </c>
      <c r="EA18" s="1">
        <f t="shared" si="28"/>
        <v>198.88227946025231</v>
      </c>
      <c r="EB18" s="1">
        <f t="shared" si="28"/>
        <v>196.89345666564978</v>
      </c>
      <c r="EC18" s="1">
        <f t="shared" si="28"/>
        <v>194.92452209899329</v>
      </c>
      <c r="ED18" s="1">
        <f t="shared" si="28"/>
        <v>192.97527687800337</v>
      </c>
      <c r="EE18" s="1">
        <f t="shared" si="28"/>
        <v>191.04552410922332</v>
      </c>
      <c r="EF18" s="1">
        <f t="shared" si="28"/>
        <v>189.1350688681311</v>
      </c>
      <c r="EG18" s="1">
        <f t="shared" si="28"/>
        <v>187.24371817944979</v>
      </c>
      <c r="EH18" s="1">
        <f t="shared" si="28"/>
        <v>185.37128099765528</v>
      </c>
      <c r="EI18" s="1">
        <f t="shared" si="28"/>
        <v>183.51756818767873</v>
      </c>
      <c r="EJ18" s="1">
        <f t="shared" si="28"/>
        <v>181.68239250580194</v>
      </c>
      <c r="EK18" s="1">
        <f t="shared" si="28"/>
        <v>179.86556858074391</v>
      </c>
      <c r="EL18" s="1">
        <f t="shared" si="28"/>
        <v>178.06691289493648</v>
      </c>
      <c r="EM18" s="1">
        <f t="shared" si="28"/>
        <v>176.28624376598711</v>
      </c>
      <c r="EN18" s="1">
        <f t="shared" si="28"/>
        <v>174.52338132832725</v>
      </c>
      <c r="EO18" s="1">
        <f t="shared" si="28"/>
        <v>172.77814751504397</v>
      </c>
      <c r="EP18" s="1">
        <f t="shared" si="28"/>
        <v>171.05036603989353</v>
      </c>
      <c r="EQ18" s="1">
        <f t="shared" si="28"/>
        <v>169.3398623794946</v>
      </c>
      <c r="ER18" s="1">
        <f t="shared" si="28"/>
        <v>167.64646375569967</v>
      </c>
      <c r="ES18" s="1">
        <f t="shared" si="28"/>
        <v>165.96999911814268</v>
      </c>
      <c r="ET18" s="1">
        <f t="shared" si="28"/>
        <v>164.31029912696124</v>
      </c>
      <c r="EU18" s="1">
        <f t="shared" si="28"/>
        <v>162.66719613569163</v>
      </c>
      <c r="EV18" s="1">
        <f t="shared" si="28"/>
        <v>161.04052417433471</v>
      </c>
      <c r="EW18" s="1">
        <f t="shared" si="28"/>
        <v>159.43011893259137</v>
      </c>
      <c r="EX18" s="1">
        <f t="shared" si="28"/>
        <v>157.83581774326547</v>
      </c>
      <c r="EY18" s="1">
        <f t="shared" si="28"/>
        <v>156.25745956583282</v>
      </c>
      <c r="EZ18" s="1">
        <f t="shared" si="28"/>
        <v>154.69488497017448</v>
      </c>
      <c r="FA18" s="1">
        <f t="shared" si="28"/>
        <v>153.14793612047274</v>
      </c>
      <c r="FB18" s="1">
        <f t="shared" si="28"/>
        <v>151.616456759268</v>
      </c>
      <c r="FC18" s="1">
        <f t="shared" si="28"/>
        <v>150.10029219167532</v>
      </c>
      <c r="FD18" s="1">
        <f t="shared" si="28"/>
        <v>148.59928926975857</v>
      </c>
    </row>
    <row r="19" spans="2:160" x14ac:dyDescent="0.3">
      <c r="B19" t="s">
        <v>2</v>
      </c>
      <c r="C19" s="5">
        <f t="shared" ref="C19:S19" si="29">216.4</f>
        <v>216.4</v>
      </c>
      <c r="D19" s="5">
        <f t="shared" si="29"/>
        <v>216.4</v>
      </c>
      <c r="E19" s="5">
        <f t="shared" si="29"/>
        <v>216.4</v>
      </c>
      <c r="F19" s="5">
        <f t="shared" si="29"/>
        <v>216.4</v>
      </c>
      <c r="G19" s="5">
        <f t="shared" si="29"/>
        <v>216.4</v>
      </c>
      <c r="H19" s="5">
        <f t="shared" si="29"/>
        <v>216.4</v>
      </c>
      <c r="I19" s="5">
        <f t="shared" si="29"/>
        <v>216.4</v>
      </c>
      <c r="J19" s="5">
        <f t="shared" si="29"/>
        <v>216.4</v>
      </c>
      <c r="K19" s="5">
        <f t="shared" si="29"/>
        <v>216.4</v>
      </c>
      <c r="L19" s="5">
        <f t="shared" si="29"/>
        <v>216.4</v>
      </c>
      <c r="M19" s="5">
        <f t="shared" si="29"/>
        <v>216.4</v>
      </c>
      <c r="N19" s="5">
        <f t="shared" si="29"/>
        <v>216.4</v>
      </c>
      <c r="O19" s="5">
        <f t="shared" si="29"/>
        <v>216.4</v>
      </c>
      <c r="P19" s="5">
        <f t="shared" si="29"/>
        <v>216.4</v>
      </c>
      <c r="Q19" s="5">
        <f t="shared" si="29"/>
        <v>216.4</v>
      </c>
      <c r="R19" s="5">
        <f t="shared" si="29"/>
        <v>216.4</v>
      </c>
      <c r="S19" s="5">
        <f t="shared" si="29"/>
        <v>216.4</v>
      </c>
      <c r="T19" s="5">
        <f>296.8</f>
        <v>296.8</v>
      </c>
      <c r="U19" s="5">
        <f>354.3</f>
        <v>354.3</v>
      </c>
      <c r="V19" s="5">
        <f>366.6</f>
        <v>366.6</v>
      </c>
      <c r="W19" s="5"/>
      <c r="X19" s="5"/>
      <c r="Y19" s="5"/>
      <c r="Z19" s="5"/>
      <c r="AB19" s="5">
        <f>216.4</f>
        <v>216.4</v>
      </c>
      <c r="AC19" s="5">
        <f>216.4</f>
        <v>216.4</v>
      </c>
      <c r="AD19" s="5">
        <f>216.4</f>
        <v>216.4</v>
      </c>
      <c r="AE19" s="5">
        <f>216.4</f>
        <v>216.4</v>
      </c>
      <c r="AF19" s="5">
        <f>366.6</f>
        <v>366.6</v>
      </c>
      <c r="AG19" s="5">
        <f>366.6</f>
        <v>366.6</v>
      </c>
      <c r="AH19" s="5">
        <f>366.6</f>
        <v>366.6</v>
      </c>
      <c r="AI19" s="5">
        <f>366.6</f>
        <v>366.6</v>
      </c>
      <c r="AJ19" s="5">
        <f>366.6</f>
        <v>366.6</v>
      </c>
      <c r="AK19" s="5">
        <f>366.6</f>
        <v>366.6</v>
      </c>
      <c r="AL19" s="5">
        <f>366.6</f>
        <v>366.6</v>
      </c>
      <c r="AM19" s="5">
        <f>366.6</f>
        <v>366.6</v>
      </c>
      <c r="AN19" s="5">
        <f>366.6</f>
        <v>366.6</v>
      </c>
      <c r="AO19" s="5">
        <f>366.6</f>
        <v>366.6</v>
      </c>
      <c r="AP19" s="5">
        <f>366.6</f>
        <v>366.6</v>
      </c>
    </row>
    <row r="20" spans="2:160" x14ac:dyDescent="0.3">
      <c r="B20" t="s">
        <v>38</v>
      </c>
      <c r="C20" s="7">
        <f t="shared" ref="C20:R20" si="30">C18/C19</f>
        <v>-3.4195933456561925E-2</v>
      </c>
      <c r="D20" s="7">
        <f t="shared" si="30"/>
        <v>-4.6210720887245843E-2</v>
      </c>
      <c r="E20" s="7">
        <f t="shared" si="30"/>
        <v>-6.88539741219963E-2</v>
      </c>
      <c r="F20" s="7">
        <f t="shared" si="30"/>
        <v>-0.34195933456561922</v>
      </c>
      <c r="G20" s="7">
        <f t="shared" si="30"/>
        <v>-1.9870609981515713E-2</v>
      </c>
      <c r="H20" s="7">
        <f t="shared" si="30"/>
        <v>-6.9316081330868598E-3</v>
      </c>
      <c r="I20" s="7">
        <f t="shared" si="30"/>
        <v>-0.11044362292051756</v>
      </c>
      <c r="J20" s="7">
        <f t="shared" si="30"/>
        <v>-8.6414048059149706E-2</v>
      </c>
      <c r="K20" s="7">
        <f t="shared" si="30"/>
        <v>-0.12615526802218113</v>
      </c>
      <c r="L20" s="7">
        <f t="shared" si="30"/>
        <v>-0.2019408502772643</v>
      </c>
      <c r="M20" s="7">
        <f t="shared" si="30"/>
        <v>-0.20609981515711645</v>
      </c>
      <c r="N20" s="7">
        <f t="shared" si="30"/>
        <v>-0.19362292051756008</v>
      </c>
      <c r="O20" s="7">
        <f t="shared" si="30"/>
        <v>-0.18299445471349357</v>
      </c>
      <c r="P20" s="7">
        <f t="shared" si="30"/>
        <v>-0.17375231053604434</v>
      </c>
      <c r="Q20" s="7">
        <f t="shared" si="30"/>
        <v>-0.24260628465804068</v>
      </c>
      <c r="R20" s="7">
        <f t="shared" si="30"/>
        <v>-0.93345656192236592</v>
      </c>
      <c r="S20" s="7">
        <f t="shared" ref="S20:V20" si="31">S18/S19</f>
        <v>-0.1487985212569316</v>
      </c>
      <c r="T20" s="7">
        <f t="shared" si="31"/>
        <v>-0.59838274932614544</v>
      </c>
      <c r="U20" s="7">
        <f t="shared" si="31"/>
        <v>-2.9793959920970927</v>
      </c>
      <c r="V20" s="7">
        <f t="shared" si="31"/>
        <v>2.0545553737043094</v>
      </c>
      <c r="W20" s="7"/>
      <c r="X20" s="7"/>
      <c r="Y20" s="7"/>
      <c r="Z20" s="7"/>
      <c r="AB20" s="7">
        <f>AB18/AB19</f>
        <v>-0.49121996303142329</v>
      </c>
      <c r="AC20" s="7">
        <f>AC18/AC19</f>
        <v>-0.2236598890942699</v>
      </c>
      <c r="AD20" s="7">
        <f>AD18/AD19</f>
        <v>-0.72781885397412216</v>
      </c>
      <c r="AE20" s="7">
        <f>AE18/AE19</f>
        <v>-1.5328096118299444</v>
      </c>
      <c r="AF20" s="7">
        <f>AF18/AF19</f>
        <v>-1.3971631205673753</v>
      </c>
      <c r="AG20" s="7">
        <f t="shared" ref="AG20:AP20" si="32">AG18/AG19</f>
        <v>-1.6372534097108562</v>
      </c>
      <c r="AH20" s="7">
        <f t="shared" si="32"/>
        <v>-1.6040246590289144</v>
      </c>
      <c r="AI20" s="7">
        <f t="shared" si="32"/>
        <v>-1.4794611453900712</v>
      </c>
      <c r="AJ20" s="7">
        <f t="shared" si="32"/>
        <v>-1.18310137342335</v>
      </c>
      <c r="AK20" s="7">
        <f t="shared" si="32"/>
        <v>-0.68756795241721258</v>
      </c>
      <c r="AL20" s="7">
        <f t="shared" si="32"/>
        <v>-0.19243640151511091</v>
      </c>
      <c r="AM20" s="7">
        <f t="shared" si="32"/>
        <v>0.31984421318433198</v>
      </c>
      <c r="AN20" s="7">
        <f t="shared" si="32"/>
        <v>0.77212387463215681</v>
      </c>
      <c r="AO20" s="7">
        <f t="shared" si="32"/>
        <v>1.1563343613357853</v>
      </c>
      <c r="AP20" s="7">
        <f t="shared" si="32"/>
        <v>1.3270011802187371</v>
      </c>
    </row>
    <row r="22" spans="2:160" s="1" customFormat="1" x14ac:dyDescent="0.3">
      <c r="B22" s="1" t="s">
        <v>44</v>
      </c>
      <c r="C22" s="9"/>
      <c r="D22" s="9"/>
      <c r="E22" s="9"/>
      <c r="F22" s="9"/>
      <c r="G22" s="9">
        <f t="shared" ref="G22:P22" si="33">G3/C3-1</f>
        <v>19</v>
      </c>
      <c r="H22" s="9">
        <f t="shared" si="33"/>
        <v>25</v>
      </c>
      <c r="I22" s="9">
        <f t="shared" si="33"/>
        <v>12.999999999999998</v>
      </c>
      <c r="J22" s="9">
        <f t="shared" si="33"/>
        <v>1.3749999999999996</v>
      </c>
      <c r="K22" s="9">
        <f t="shared" si="33"/>
        <v>1.1499999999999999</v>
      </c>
      <c r="L22" s="9">
        <f t="shared" si="33"/>
        <v>1.1153846153846154</v>
      </c>
      <c r="M22" s="9">
        <f t="shared" si="33"/>
        <v>1.1785714285714284</v>
      </c>
      <c r="N22" s="9">
        <f t="shared" si="33"/>
        <v>0.60526315789473673</v>
      </c>
      <c r="O22" s="9">
        <f t="shared" si="33"/>
        <v>0.76744186046511631</v>
      </c>
      <c r="P22" s="9">
        <f t="shared" si="33"/>
        <v>1.0727272727272728</v>
      </c>
      <c r="Q22" s="9">
        <f>Q3/M3-1</f>
        <v>1.0327868852459017</v>
      </c>
      <c r="R22" s="9">
        <f>R3/N3-1</f>
        <v>0.91803278688524581</v>
      </c>
      <c r="S22" s="9">
        <f t="shared" ref="S22:V22" si="34">S3/O3-1</f>
        <v>0</v>
      </c>
      <c r="T22" s="9">
        <f t="shared" si="34"/>
        <v>0.8157894736842104</v>
      </c>
      <c r="U22" s="9">
        <f t="shared" si="34"/>
        <v>2.2177419354838706</v>
      </c>
      <c r="V22" s="9">
        <f t="shared" si="34"/>
        <v>4.2905982905982905</v>
      </c>
      <c r="W22" s="9"/>
      <c r="X22" s="9"/>
      <c r="Y22" s="9"/>
      <c r="Z22" s="9"/>
      <c r="AB22" s="9"/>
      <c r="AC22" s="9">
        <f>AC3/AB3-1</f>
        <v>4.5999999999999996</v>
      </c>
      <c r="AD22" s="9">
        <f t="shared" ref="AD22:AP22" si="35">AD3/AC3-1</f>
        <v>0.96428571428571441</v>
      </c>
      <c r="AE22" s="9">
        <f t="shared" si="35"/>
        <v>0.95909090909090877</v>
      </c>
      <c r="AF22" s="9">
        <f t="shared" si="35"/>
        <v>2.0185614849187936</v>
      </c>
      <c r="AG22" s="9">
        <f t="shared" si="35"/>
        <v>0.89999999999999991</v>
      </c>
      <c r="AH22" s="9">
        <f t="shared" si="35"/>
        <v>0.75</v>
      </c>
      <c r="AI22" s="9">
        <f t="shared" si="35"/>
        <v>0.60000000000000009</v>
      </c>
      <c r="AJ22" s="9">
        <f t="shared" si="35"/>
        <v>0.5</v>
      </c>
      <c r="AK22" s="9">
        <f t="shared" si="35"/>
        <v>0.44999999999999996</v>
      </c>
      <c r="AL22" s="9">
        <f t="shared" si="35"/>
        <v>0.25</v>
      </c>
      <c r="AM22" s="9">
        <f t="shared" si="35"/>
        <v>0.19999999999999996</v>
      </c>
      <c r="AN22" s="9">
        <f t="shared" si="35"/>
        <v>0.14999999999999991</v>
      </c>
      <c r="AO22" s="9">
        <f t="shared" si="35"/>
        <v>0.10000000000000009</v>
      </c>
      <c r="AP22" s="9">
        <f t="shared" si="35"/>
        <v>5.0000000000000044E-2</v>
      </c>
    </row>
    <row r="23" spans="2:160" x14ac:dyDescent="0.3">
      <c r="B23" t="s">
        <v>45</v>
      </c>
      <c r="C23" s="10">
        <f t="shared" ref="C23:P23" si="36">C5/C3</f>
        <v>-1</v>
      </c>
      <c r="D23" s="10">
        <f t="shared" si="36"/>
        <v>-1.9999999999999998</v>
      </c>
      <c r="E23" s="10">
        <f t="shared" si="36"/>
        <v>0</v>
      </c>
      <c r="F23" s="10">
        <f t="shared" si="36"/>
        <v>0.8125</v>
      </c>
      <c r="G23" s="10">
        <f t="shared" si="36"/>
        <v>0.7</v>
      </c>
      <c r="H23" s="10">
        <f t="shared" si="36"/>
        <v>0.73076923076923084</v>
      </c>
      <c r="I23" s="10">
        <f t="shared" si="36"/>
        <v>0.74999999999999989</v>
      </c>
      <c r="J23" s="10">
        <f t="shared" si="36"/>
        <v>0.76315789473684215</v>
      </c>
      <c r="K23" s="10">
        <f t="shared" si="36"/>
        <v>0.76744186046511631</v>
      </c>
      <c r="L23" s="10">
        <f t="shared" si="36"/>
        <v>0.65454545454545454</v>
      </c>
      <c r="M23" s="10">
        <f t="shared" si="36"/>
        <v>0.67213114754098358</v>
      </c>
      <c r="N23" s="10">
        <f t="shared" si="36"/>
        <v>0.47540983606557369</v>
      </c>
      <c r="O23" s="10">
        <f t="shared" si="36"/>
        <v>0.55263157894736836</v>
      </c>
      <c r="P23" s="10">
        <f t="shared" si="36"/>
        <v>0.50877192982456143</v>
      </c>
      <c r="Q23" s="10">
        <f>Q5/Q3</f>
        <v>0.47580645161290325</v>
      </c>
      <c r="R23" s="10">
        <f>R5/R3</f>
        <v>0.57264957264957261</v>
      </c>
      <c r="S23" s="10">
        <f t="shared" ref="S23:V23" si="37">S5/S3</f>
        <v>0.43421052631578949</v>
      </c>
      <c r="T23" s="10">
        <f t="shared" si="37"/>
        <v>0.59903381642512077</v>
      </c>
      <c r="U23" s="10">
        <f t="shared" si="37"/>
        <v>0.46616541353383456</v>
      </c>
      <c r="V23" s="10">
        <f t="shared" si="37"/>
        <v>0.29563812600969303</v>
      </c>
      <c r="W23" s="10"/>
      <c r="X23" s="10"/>
      <c r="Y23" s="10"/>
      <c r="Z23" s="10"/>
      <c r="AB23" s="10">
        <f t="shared" ref="AB23" si="38">AB5/AB3</f>
        <v>0.5</v>
      </c>
      <c r="AC23" s="10">
        <f>AC5/AC3</f>
        <v>0.74107142857142849</v>
      </c>
      <c r="AD23" s="10">
        <f t="shared" ref="AD23:AP23" si="39">AD5/AD3</f>
        <v>0.63181818181818172</v>
      </c>
      <c r="AE23" s="10">
        <f t="shared" si="39"/>
        <v>0.52436194895591637</v>
      </c>
      <c r="AF23" s="10">
        <f t="shared" si="39"/>
        <v>0.40430438124519597</v>
      </c>
      <c r="AG23" s="10">
        <f t="shared" si="39"/>
        <v>0.51</v>
      </c>
      <c r="AH23" s="10">
        <f t="shared" si="39"/>
        <v>0.52</v>
      </c>
      <c r="AI23" s="10">
        <f t="shared" si="39"/>
        <v>0.52</v>
      </c>
      <c r="AJ23" s="10">
        <f t="shared" si="39"/>
        <v>0.54</v>
      </c>
      <c r="AK23" s="10">
        <f t="shared" si="39"/>
        <v>0.56000000000000005</v>
      </c>
      <c r="AL23" s="10">
        <f t="shared" si="39"/>
        <v>0.57999999999999996</v>
      </c>
      <c r="AM23" s="10">
        <f t="shared" si="39"/>
        <v>0.6</v>
      </c>
      <c r="AN23" s="10">
        <f t="shared" si="39"/>
        <v>0.61</v>
      </c>
      <c r="AO23" s="10">
        <f t="shared" si="39"/>
        <v>0.62</v>
      </c>
      <c r="AP23" s="10">
        <f t="shared" si="39"/>
        <v>0.62</v>
      </c>
      <c r="AS23" t="s">
        <v>52</v>
      </c>
      <c r="AT23" s="10">
        <v>-0.01</v>
      </c>
    </row>
    <row r="24" spans="2:160" x14ac:dyDescent="0.3">
      <c r="B24" t="s">
        <v>46</v>
      </c>
      <c r="C24" s="10"/>
      <c r="D24" s="10"/>
      <c r="E24" s="10"/>
      <c r="F24" s="10"/>
      <c r="G24" s="10">
        <f t="shared" ref="G24:P24" si="40">G6/C6-1</f>
        <v>0.9729729729729728</v>
      </c>
      <c r="H24" s="10">
        <f t="shared" si="40"/>
        <v>0.76363636363636345</v>
      </c>
      <c r="I24" s="10">
        <f t="shared" si="40"/>
        <v>1.1451612903225805</v>
      </c>
      <c r="J24" s="10">
        <f t="shared" si="40"/>
        <v>1.7959183673469385</v>
      </c>
      <c r="K24" s="10">
        <f t="shared" si="40"/>
        <v>1.2191780821917808</v>
      </c>
      <c r="L24" s="10">
        <f t="shared" si="40"/>
        <v>1.0515463917525771</v>
      </c>
      <c r="M24" s="10">
        <f t="shared" si="40"/>
        <v>0.84962406015037595</v>
      </c>
      <c r="N24" s="10">
        <f t="shared" si="40"/>
        <v>1.3065693430656937</v>
      </c>
      <c r="O24" s="10">
        <f t="shared" si="40"/>
        <v>1</v>
      </c>
      <c r="P24" s="10">
        <f t="shared" si="40"/>
        <v>0.56783919597989962</v>
      </c>
      <c r="Q24" s="10">
        <f>Q6/M6-1</f>
        <v>0.34959349593495936</v>
      </c>
      <c r="R24" s="10">
        <f>R6/N6-1</f>
        <v>0.26898734177215178</v>
      </c>
      <c r="S24" s="10">
        <f t="shared" ref="S24:V24" si="41">S6/O6-1</f>
        <v>0.23456790123456805</v>
      </c>
      <c r="T24" s="10">
        <f t="shared" si="41"/>
        <v>2.3141025641025643</v>
      </c>
      <c r="U24" s="10">
        <f t="shared" si="41"/>
        <v>0.99698795180722866</v>
      </c>
      <c r="V24" s="10">
        <f t="shared" si="41"/>
        <v>1.3965087281795507</v>
      </c>
      <c r="W24" s="10"/>
      <c r="X24" s="10"/>
      <c r="Y24" s="10"/>
      <c r="Z24" s="10"/>
      <c r="AB24" s="10"/>
      <c r="AC24" s="10">
        <f>AC6/AB6-1</f>
        <v>1.1674876847290645</v>
      </c>
      <c r="AD24" s="10">
        <f t="shared" ref="AD24:AP24" si="42">AD6/AC6-1</f>
        <v>1.0977272727272727</v>
      </c>
      <c r="AE24" s="10">
        <f t="shared" si="42"/>
        <v>0.48320693391115932</v>
      </c>
      <c r="AF24" s="10">
        <f t="shared" si="42"/>
        <v>1.2337472607742872</v>
      </c>
      <c r="AG24" s="10">
        <f t="shared" si="42"/>
        <v>0.12000000000000011</v>
      </c>
      <c r="AH24" s="10">
        <f t="shared" si="42"/>
        <v>7.0000000000000062E-2</v>
      </c>
      <c r="AI24" s="10">
        <f t="shared" si="42"/>
        <v>5.0000000000000044E-2</v>
      </c>
      <c r="AJ24" s="10">
        <f t="shared" si="42"/>
        <v>5.0000000000000044E-2</v>
      </c>
      <c r="AK24" s="10">
        <f t="shared" si="42"/>
        <v>5.0000000000000044E-2</v>
      </c>
      <c r="AL24" s="10">
        <f t="shared" si="42"/>
        <v>5.0000000000000044E-2</v>
      </c>
      <c r="AM24" s="10">
        <f t="shared" si="42"/>
        <v>5.0000000000000044E-2</v>
      </c>
      <c r="AN24" s="10">
        <f t="shared" si="42"/>
        <v>5.0000000000000044E-2</v>
      </c>
      <c r="AO24" s="10">
        <f t="shared" si="42"/>
        <v>5.0000000000000044E-2</v>
      </c>
      <c r="AP24" s="10">
        <f t="shared" si="42"/>
        <v>5.0000000000000044E-2</v>
      </c>
      <c r="AS24" t="s">
        <v>53</v>
      </c>
      <c r="AT24" s="10">
        <v>0.08</v>
      </c>
    </row>
    <row r="25" spans="2:160" x14ac:dyDescent="0.3">
      <c r="B25" t="s">
        <v>47</v>
      </c>
      <c r="C25" s="10">
        <f t="shared" ref="C25:P25" si="43">C7/C3</f>
        <v>2</v>
      </c>
      <c r="D25" s="10">
        <f t="shared" si="43"/>
        <v>9</v>
      </c>
      <c r="E25" s="10">
        <f t="shared" si="43"/>
        <v>6.5</v>
      </c>
      <c r="F25" s="10">
        <f t="shared" si="43"/>
        <v>0.5</v>
      </c>
      <c r="G25" s="10">
        <f t="shared" si="43"/>
        <v>0.95</v>
      </c>
      <c r="H25" s="10">
        <f t="shared" si="43"/>
        <v>0.80769230769230771</v>
      </c>
      <c r="I25" s="10">
        <f t="shared" si="43"/>
        <v>0.7142857142857143</v>
      </c>
      <c r="J25" s="10">
        <f t="shared" si="43"/>
        <v>0.63157894736842102</v>
      </c>
      <c r="K25" s="10">
        <f t="shared" si="43"/>
        <v>0.62790697674418616</v>
      </c>
      <c r="L25" s="10">
        <f t="shared" si="43"/>
        <v>0.65454545454545454</v>
      </c>
      <c r="M25" s="10">
        <f t="shared" si="43"/>
        <v>0.81967213114754101</v>
      </c>
      <c r="N25" s="10">
        <f t="shared" si="43"/>
        <v>1.1475409836065575</v>
      </c>
      <c r="O25" s="10">
        <f t="shared" si="43"/>
        <v>0.88157894736842113</v>
      </c>
      <c r="P25" s="10">
        <f t="shared" si="43"/>
        <v>0.53508771929824561</v>
      </c>
      <c r="Q25" s="10">
        <f>Q7/Q3</f>
        <v>0.532258064516129</v>
      </c>
      <c r="R25" s="10">
        <f>R7/R3</f>
        <v>0.76068376068376076</v>
      </c>
      <c r="S25" s="10">
        <f t="shared" ref="S25:V25" si="44">S7/S3</f>
        <v>1.131578947368421</v>
      </c>
      <c r="T25" s="10">
        <f t="shared" si="44"/>
        <v>0.52657004830917875</v>
      </c>
      <c r="U25" s="10">
        <f t="shared" si="44"/>
        <v>0.36090225563909778</v>
      </c>
      <c r="V25" s="10">
        <f t="shared" si="44"/>
        <v>0.3150242326332795</v>
      </c>
      <c r="W25" s="10"/>
      <c r="X25" s="10"/>
      <c r="Y25" s="10"/>
      <c r="Z25" s="10"/>
      <c r="AB25" s="10">
        <f t="shared" ref="AB25" si="45">AB7/AB3</f>
        <v>1.6</v>
      </c>
      <c r="AC25" s="10">
        <f>AC7/AC3</f>
        <v>0.75000000000000011</v>
      </c>
      <c r="AD25" s="10">
        <f t="shared" ref="AD25:AP25" si="46">AD7/AD3</f>
        <v>0.8318181818181819</v>
      </c>
      <c r="AE25" s="10">
        <f t="shared" si="46"/>
        <v>0.65661252900232026</v>
      </c>
      <c r="AF25" s="10">
        <f t="shared" si="46"/>
        <v>0.41045349730976172</v>
      </c>
      <c r="AG25" s="10">
        <f t="shared" si="46"/>
        <v>0.3</v>
      </c>
      <c r="AH25" s="10">
        <f t="shared" si="46"/>
        <v>0.26</v>
      </c>
      <c r="AI25" s="10">
        <f t="shared" si="46"/>
        <v>0.24</v>
      </c>
      <c r="AJ25" s="10">
        <f t="shared" si="46"/>
        <v>0.22</v>
      </c>
      <c r="AK25" s="10">
        <f t="shared" si="46"/>
        <v>0.2</v>
      </c>
      <c r="AL25" s="10">
        <f t="shared" si="46"/>
        <v>0.18</v>
      </c>
      <c r="AM25" s="10">
        <f t="shared" si="46"/>
        <v>0.17</v>
      </c>
      <c r="AN25" s="10">
        <f t="shared" si="46"/>
        <v>0.16</v>
      </c>
      <c r="AO25" s="10">
        <f t="shared" si="46"/>
        <v>0.15</v>
      </c>
      <c r="AP25" s="10">
        <f t="shared" si="46"/>
        <v>0.14000000000000001</v>
      </c>
      <c r="AS25" t="s">
        <v>54</v>
      </c>
      <c r="AT25" s="5">
        <f>NPV(AT24,AE18:FD18)</f>
        <v>207.1587666279265</v>
      </c>
    </row>
    <row r="26" spans="2:160" x14ac:dyDescent="0.3">
      <c r="B26" t="s">
        <v>48</v>
      </c>
      <c r="C26" s="10"/>
      <c r="D26" s="10"/>
      <c r="E26" s="10"/>
      <c r="F26" s="10"/>
      <c r="G26" s="10">
        <f t="shared" ref="G26:P26" si="47">G8/C8-1</f>
        <v>2.0666666666666664</v>
      </c>
      <c r="H26" s="10">
        <f t="shared" si="47"/>
        <v>1.6206896551724137</v>
      </c>
      <c r="I26" s="10">
        <f t="shared" si="47"/>
        <v>3.04</v>
      </c>
      <c r="J26" s="10">
        <f t="shared" si="47"/>
        <v>0.68518518518518512</v>
      </c>
      <c r="K26" s="10">
        <f t="shared" si="47"/>
        <v>0.15217391304347827</v>
      </c>
      <c r="L26" s="10">
        <f t="shared" si="47"/>
        <v>0.4342105263157896</v>
      </c>
      <c r="M26" s="10">
        <f t="shared" si="47"/>
        <v>0.37623762376237635</v>
      </c>
      <c r="N26" s="10">
        <f t="shared" si="47"/>
        <v>0.68131868131868156</v>
      </c>
      <c r="O26" s="10">
        <f t="shared" si="47"/>
        <v>0.32075471698113223</v>
      </c>
      <c r="P26" s="10">
        <f t="shared" si="47"/>
        <v>0.201834862385321</v>
      </c>
      <c r="Q26" s="10">
        <f>Q8/M8-1</f>
        <v>2.877697841726623E-2</v>
      </c>
      <c r="R26" s="10">
        <f>R8/N8-1</f>
        <v>0.94117647058823506</v>
      </c>
      <c r="S26" s="10">
        <f t="shared" ref="S26:V26" si="48">S8/O8-1</f>
        <v>0.7</v>
      </c>
      <c r="T26" s="10">
        <f t="shared" si="48"/>
        <v>2.6717557251908399</v>
      </c>
      <c r="U26" s="10">
        <f t="shared" si="48"/>
        <v>4.7692307692307692</v>
      </c>
      <c r="V26" s="10">
        <f t="shared" si="48"/>
        <v>2.0538720538720541</v>
      </c>
      <c r="W26" s="10"/>
      <c r="X26" s="10"/>
      <c r="Y26" s="10"/>
      <c r="Z26" s="10"/>
      <c r="AB26" s="10"/>
      <c r="AC26" s="10">
        <f>AC8/AB8-1</f>
        <v>1.6086956521739131</v>
      </c>
      <c r="AD26" s="10">
        <f t="shared" ref="AD26:AP26" si="49">AD8/AC8-1</f>
        <v>0.40833333333333344</v>
      </c>
      <c r="AE26" s="10">
        <f t="shared" si="49"/>
        <v>0.4023668639053255</v>
      </c>
      <c r="AF26" s="10">
        <f t="shared" si="49"/>
        <v>2.4472573839662446</v>
      </c>
      <c r="AG26" s="10">
        <f t="shared" si="49"/>
        <v>8.0000000000000071E-2</v>
      </c>
      <c r="AH26" s="10">
        <f t="shared" si="49"/>
        <v>6.0000000000000053E-2</v>
      </c>
      <c r="AI26" s="10">
        <f t="shared" si="49"/>
        <v>4.0000000000000036E-2</v>
      </c>
      <c r="AJ26" s="10">
        <f t="shared" si="49"/>
        <v>3.0000000000000027E-2</v>
      </c>
      <c r="AK26" s="10">
        <f t="shared" si="49"/>
        <v>2.0000000000000018E-2</v>
      </c>
      <c r="AL26" s="10">
        <f t="shared" si="49"/>
        <v>2.0000000000000018E-2</v>
      </c>
      <c r="AM26" s="10">
        <f t="shared" si="49"/>
        <v>2.0000000000000018E-2</v>
      </c>
      <c r="AN26" s="10">
        <f t="shared" si="49"/>
        <v>2.0000000000000018E-2</v>
      </c>
      <c r="AO26" s="10">
        <f t="shared" si="49"/>
        <v>2.0000000000000018E-2</v>
      </c>
      <c r="AP26" s="10">
        <f t="shared" si="49"/>
        <v>2.0000000000000018E-2</v>
      </c>
      <c r="AS26" t="s">
        <v>55</v>
      </c>
      <c r="AT26" s="5">
        <f>Main!D8</f>
        <v>3336.7999999999997</v>
      </c>
    </row>
    <row r="27" spans="2:160" x14ac:dyDescent="0.3">
      <c r="B27" t="s">
        <v>49</v>
      </c>
      <c r="C27" s="10"/>
      <c r="D27" s="10"/>
      <c r="E27" s="10"/>
      <c r="F27" s="10"/>
      <c r="G27" s="10">
        <f t="shared" ref="G27:P27" si="50">G9/C9-1</f>
        <v>2.25</v>
      </c>
      <c r="H27" s="10">
        <f t="shared" si="50"/>
        <v>2</v>
      </c>
      <c r="I27" s="10">
        <f t="shared" si="50"/>
        <v>1.5</v>
      </c>
      <c r="J27" s="10">
        <f t="shared" si="50"/>
        <v>0.39999999999999991</v>
      </c>
      <c r="K27" s="10">
        <f t="shared" si="50"/>
        <v>0.38461538461538458</v>
      </c>
      <c r="L27" s="10">
        <f t="shared" si="50"/>
        <v>0.53333333333333321</v>
      </c>
      <c r="M27" s="10">
        <f t="shared" si="50"/>
        <v>0.8</v>
      </c>
      <c r="N27" s="10">
        <f t="shared" si="50"/>
        <v>1.5</v>
      </c>
      <c r="O27" s="10">
        <f t="shared" si="50"/>
        <v>1.2222222222222223</v>
      </c>
      <c r="P27" s="10">
        <f t="shared" si="50"/>
        <v>0.86956521739130443</v>
      </c>
      <c r="Q27" s="10">
        <f>Q9/M9-1</f>
        <v>0.81481481481481488</v>
      </c>
      <c r="R27" s="10">
        <f>R9/N9-1</f>
        <v>0.5714285714285714</v>
      </c>
      <c r="S27" s="10">
        <f t="shared" ref="S27:V27" si="51">S9/O9-1</f>
        <v>0.64999999999999991</v>
      </c>
      <c r="T27" s="10">
        <f t="shared" si="51"/>
        <v>1.4651162790697674</v>
      </c>
      <c r="U27" s="10">
        <f t="shared" si="51"/>
        <v>3.9387755102040813</v>
      </c>
      <c r="V27" s="10">
        <f t="shared" si="51"/>
        <v>6.3818181818181818</v>
      </c>
      <c r="W27" s="10"/>
      <c r="X27" s="10"/>
      <c r="Y27" s="10"/>
      <c r="Z27" s="10"/>
      <c r="AB27" s="10"/>
      <c r="AC27" s="10">
        <f>AC9/AB9-1</f>
        <v>1.2799999999999998</v>
      </c>
      <c r="AD27" s="10">
        <f t="shared" ref="AD27:AP27" si="52">AD9/AC9-1</f>
        <v>0.80701754385964941</v>
      </c>
      <c r="AE27" s="10">
        <f t="shared" si="52"/>
        <v>0.81553398058252435</v>
      </c>
      <c r="AF27" s="10">
        <f t="shared" si="52"/>
        <v>3.3850267379679142</v>
      </c>
      <c r="AG27" s="10">
        <f t="shared" si="52"/>
        <v>0.25</v>
      </c>
      <c r="AH27" s="10">
        <f t="shared" si="52"/>
        <v>0.10000000000000009</v>
      </c>
      <c r="AI27" s="10">
        <f t="shared" si="52"/>
        <v>7.0000000000000062E-2</v>
      </c>
      <c r="AJ27" s="10">
        <f t="shared" si="52"/>
        <v>3.0000000000000027E-2</v>
      </c>
      <c r="AK27" s="10">
        <f t="shared" si="52"/>
        <v>3.0000000000000027E-2</v>
      </c>
      <c r="AL27" s="10">
        <f t="shared" si="52"/>
        <v>3.0000000000000027E-2</v>
      </c>
      <c r="AM27" s="10">
        <f t="shared" si="52"/>
        <v>3.0000000000000027E-2</v>
      </c>
      <c r="AN27" s="10">
        <f t="shared" si="52"/>
        <v>3.0000000000000027E-2</v>
      </c>
      <c r="AO27" s="10">
        <f t="shared" si="52"/>
        <v>3.0000000000000027E-2</v>
      </c>
      <c r="AP27" s="10">
        <f t="shared" si="52"/>
        <v>3.0000000000000027E-2</v>
      </c>
      <c r="AS27" t="s">
        <v>56</v>
      </c>
      <c r="AT27" s="5">
        <f>AT25+AT26</f>
        <v>3543.9587666279263</v>
      </c>
    </row>
    <row r="28" spans="2:160" x14ac:dyDescent="0.3">
      <c r="B28" t="s">
        <v>50</v>
      </c>
      <c r="C28" s="10">
        <f t="shared" ref="C28:P28" si="53">C11/C3</f>
        <v>-74</v>
      </c>
      <c r="D28" s="10">
        <f t="shared" si="53"/>
        <v>-100</v>
      </c>
      <c r="E28" s="10">
        <f t="shared" si="53"/>
        <v>-52.999999999999993</v>
      </c>
      <c r="F28" s="10">
        <f t="shared" si="53"/>
        <v>-6.75</v>
      </c>
      <c r="G28" s="10">
        <f t="shared" si="53"/>
        <v>-9.15</v>
      </c>
      <c r="H28" s="10">
        <f t="shared" si="53"/>
        <v>-7.3076923076923075</v>
      </c>
      <c r="I28" s="10">
        <f t="shared" si="53"/>
        <v>-8.8571428571428559</v>
      </c>
      <c r="J28" s="10">
        <f t="shared" si="53"/>
        <v>-6.2368421052631566</v>
      </c>
      <c r="K28" s="10">
        <f t="shared" si="53"/>
        <v>-6.5116279069767442</v>
      </c>
      <c r="L28" s="10">
        <f t="shared" si="53"/>
        <v>-6.0181818181818167</v>
      </c>
      <c r="M28" s="10">
        <f t="shared" si="53"/>
        <v>-6.9016393442622954</v>
      </c>
      <c r="N28" s="10">
        <f t="shared" si="53"/>
        <v>-8.9344262295081975</v>
      </c>
      <c r="O28" s="10">
        <f t="shared" si="53"/>
        <v>-6.9605263157894743</v>
      </c>
      <c r="P28" s="10">
        <f t="shared" si="53"/>
        <v>-4.2894736842105257</v>
      </c>
      <c r="Q28" s="10">
        <f>Q11/Q3</f>
        <v>-4.2822580645161299</v>
      </c>
      <c r="R28" s="10">
        <f>R11/R3</f>
        <v>-6.6239316239316244</v>
      </c>
      <c r="S28" s="10">
        <f t="shared" ref="S28:V28" si="54">S11/S3</f>
        <v>-9.9605263157894743</v>
      </c>
      <c r="T28" s="10">
        <f t="shared" si="54"/>
        <v>-7.7584541062801931</v>
      </c>
      <c r="U28" s="10">
        <f t="shared" si="54"/>
        <v>-4.2305764411027562</v>
      </c>
      <c r="V28" s="10">
        <f t="shared" si="54"/>
        <v>-3.6930533117932152</v>
      </c>
      <c r="W28" s="10"/>
      <c r="X28" s="10"/>
      <c r="Y28" s="10"/>
      <c r="Z28" s="10"/>
      <c r="AB28" s="10">
        <f t="shared" ref="AB28" si="55">AB11/AB3</f>
        <v>-19.399999999999999</v>
      </c>
      <c r="AC28" s="10">
        <f>AC11/AC3</f>
        <v>-7.6607142857142874</v>
      </c>
      <c r="AD28" s="10">
        <f t="shared" ref="AD28:AP28" si="56">AD11/AD3</f>
        <v>-7.1681818181818189</v>
      </c>
      <c r="AE28" s="10">
        <f t="shared" si="56"/>
        <v>-5.3921113689095135</v>
      </c>
      <c r="AF28" s="10">
        <f t="shared" si="56"/>
        <v>-4.8708685626441195</v>
      </c>
      <c r="AG28" s="10">
        <f t="shared" si="56"/>
        <v>-2.661087018083256</v>
      </c>
      <c r="AH28" s="10">
        <f t="shared" si="56"/>
        <v>-1.4964538556229163</v>
      </c>
      <c r="AI28" s="10">
        <f t="shared" si="56"/>
        <v>-0.87187688937948282</v>
      </c>
      <c r="AJ28" s="10">
        <f t="shared" si="56"/>
        <v>-0.47836819756539711</v>
      </c>
      <c r="AK28" s="10">
        <f t="shared" si="56"/>
        <v>-0.21048794167926657</v>
      </c>
      <c r="AL28" s="10">
        <f t="shared" si="56"/>
        <v>-7.2961809316107892E-2</v>
      </c>
      <c r="AM28" s="10">
        <f t="shared" si="56"/>
        <v>2.1480605431929929E-2</v>
      </c>
      <c r="AN28" s="10">
        <f t="shared" si="56"/>
        <v>8.1734734161945669E-2</v>
      </c>
      <c r="AO28" s="10">
        <f t="shared" si="56"/>
        <v>0.12287022353300914</v>
      </c>
      <c r="AP28" s="10">
        <f t="shared" si="56"/>
        <v>0.13715010413067769</v>
      </c>
      <c r="AS28" t="s">
        <v>57</v>
      </c>
      <c r="AT28" s="4">
        <f>AT27/AP19</f>
        <v>9.6670997453025809</v>
      </c>
    </row>
    <row r="29" spans="2:160" x14ac:dyDescent="0.3">
      <c r="B29" t="s">
        <v>36</v>
      </c>
      <c r="C29" s="10">
        <f t="shared" ref="C29:P29" si="57">C17/C16</f>
        <v>0</v>
      </c>
      <c r="D29" s="10">
        <f t="shared" si="57"/>
        <v>0</v>
      </c>
      <c r="E29" s="10">
        <f t="shared" si="57"/>
        <v>0</v>
      </c>
      <c r="F29" s="10">
        <f t="shared" si="57"/>
        <v>0</v>
      </c>
      <c r="G29" s="10">
        <f t="shared" si="57"/>
        <v>0</v>
      </c>
      <c r="H29" s="10">
        <f t="shared" si="57"/>
        <v>0</v>
      </c>
      <c r="I29" s="10">
        <f t="shared" si="57"/>
        <v>0</v>
      </c>
      <c r="J29" s="10">
        <f t="shared" si="57"/>
        <v>0</v>
      </c>
      <c r="K29" s="10">
        <f t="shared" si="57"/>
        <v>0</v>
      </c>
      <c r="L29" s="10">
        <f t="shared" si="57"/>
        <v>0</v>
      </c>
      <c r="M29" s="10">
        <f t="shared" si="57"/>
        <v>0</v>
      </c>
      <c r="N29" s="10">
        <f t="shared" si="57"/>
        <v>0</v>
      </c>
      <c r="O29" s="10">
        <f t="shared" si="57"/>
        <v>0</v>
      </c>
      <c r="P29" s="10">
        <f t="shared" si="57"/>
        <v>0</v>
      </c>
      <c r="Q29" s="10">
        <f>Q17/Q16</f>
        <v>0</v>
      </c>
      <c r="R29" s="10">
        <f>R17/R16</f>
        <v>0</v>
      </c>
      <c r="S29" s="10">
        <f t="shared" ref="S29:V29" si="58">S17/S16</f>
        <v>0</v>
      </c>
      <c r="T29" s="10">
        <f t="shared" si="58"/>
        <v>7.931570762052878E-2</v>
      </c>
      <c r="U29" s="10">
        <f t="shared" si="58"/>
        <v>4.1509433962264152E-3</v>
      </c>
      <c r="V29" s="10">
        <f t="shared" si="58"/>
        <v>-3.4189207744061513E-2</v>
      </c>
      <c r="W29" s="10"/>
      <c r="X29" s="10"/>
      <c r="Y29" s="10"/>
      <c r="Z29" s="10"/>
      <c r="AB29" s="10">
        <f t="shared" ref="AB29" si="59">AB17/AB16</f>
        <v>0</v>
      </c>
      <c r="AC29" s="10">
        <f>AC17/AC16</f>
        <v>0</v>
      </c>
      <c r="AD29" s="10">
        <f t="shared" ref="AD29:AP29" si="60">AD17/AD16</f>
        <v>0</v>
      </c>
      <c r="AE29" s="10">
        <f t="shared" si="60"/>
        <v>0</v>
      </c>
      <c r="AF29" s="10">
        <f t="shared" si="60"/>
        <v>8.0100574712643702E-2</v>
      </c>
      <c r="AG29" s="10">
        <f t="shared" si="60"/>
        <v>0</v>
      </c>
      <c r="AH29" s="10">
        <f t="shared" si="60"/>
        <v>0</v>
      </c>
      <c r="AI29" s="10">
        <f t="shared" si="60"/>
        <v>0</v>
      </c>
      <c r="AJ29" s="10">
        <f t="shared" si="60"/>
        <v>0</v>
      </c>
      <c r="AK29" s="10">
        <f t="shared" si="60"/>
        <v>0</v>
      </c>
      <c r="AL29" s="10">
        <f t="shared" si="60"/>
        <v>0</v>
      </c>
      <c r="AM29" s="10">
        <f t="shared" si="60"/>
        <v>0</v>
      </c>
      <c r="AN29" s="10">
        <f t="shared" si="60"/>
        <v>0</v>
      </c>
      <c r="AO29" s="10">
        <f t="shared" si="60"/>
        <v>0</v>
      </c>
      <c r="AP29" s="10">
        <f t="shared" si="60"/>
        <v>0</v>
      </c>
      <c r="AS29" t="s">
        <v>58</v>
      </c>
      <c r="AT29" s="4">
        <f>Main!D3</f>
        <v>38.46</v>
      </c>
    </row>
    <row r="30" spans="2:160" x14ac:dyDescent="0.3">
      <c r="B30" t="s">
        <v>51</v>
      </c>
      <c r="C30" s="10">
        <f t="shared" ref="C30:P30" si="61">C18/C3</f>
        <v>-74</v>
      </c>
      <c r="D30" s="10">
        <f t="shared" si="61"/>
        <v>-100</v>
      </c>
      <c r="E30" s="10">
        <f t="shared" si="61"/>
        <v>-74.499999999999986</v>
      </c>
      <c r="F30" s="10">
        <f t="shared" si="61"/>
        <v>-46.25</v>
      </c>
      <c r="G30" s="10">
        <f t="shared" si="61"/>
        <v>-2.1500000000000004</v>
      </c>
      <c r="H30" s="10">
        <f t="shared" si="61"/>
        <v>-0.57692307692307554</v>
      </c>
      <c r="I30" s="10">
        <f t="shared" si="61"/>
        <v>-8.5357142857142865</v>
      </c>
      <c r="J30" s="10">
        <f t="shared" si="61"/>
        <v>-4.9210526315789469</v>
      </c>
      <c r="K30" s="10">
        <f t="shared" si="61"/>
        <v>-6.3488372093023262</v>
      </c>
      <c r="L30" s="10">
        <f t="shared" si="61"/>
        <v>-7.9454545454545444</v>
      </c>
      <c r="M30" s="10">
        <f t="shared" si="61"/>
        <v>-7.3114754098360661</v>
      </c>
      <c r="N30" s="10">
        <f t="shared" si="61"/>
        <v>-6.8688524590163951</v>
      </c>
      <c r="O30" s="10">
        <f t="shared" si="61"/>
        <v>-5.2105263157894752</v>
      </c>
      <c r="P30" s="10">
        <f t="shared" si="61"/>
        <v>-3.2982456140350873</v>
      </c>
      <c r="Q30" s="10">
        <f>Q18/Q3</f>
        <v>-4.2338709677419359</v>
      </c>
      <c r="R30" s="10">
        <f>R18/R3</f>
        <v>-17.264957264957268</v>
      </c>
      <c r="S30" s="10">
        <f t="shared" ref="S30:V30" si="62">S18/S3</f>
        <v>-4.2368421052631584</v>
      </c>
      <c r="T30" s="10">
        <f t="shared" si="62"/>
        <v>-8.5797101449275353</v>
      </c>
      <c r="U30" s="10">
        <f t="shared" si="62"/>
        <v>-26.456140350877192</v>
      </c>
      <c r="V30" s="10">
        <f t="shared" si="62"/>
        <v>12.168012924071082</v>
      </c>
      <c r="W30" s="10"/>
      <c r="X30" s="10"/>
      <c r="Y30" s="10"/>
      <c r="Z30" s="10"/>
      <c r="AB30" s="10">
        <f t="shared" ref="AB30" si="63">AB18/AB3</f>
        <v>-53.15</v>
      </c>
      <c r="AC30" s="10">
        <f>AC18/AC3</f>
        <v>-4.3214285714285721</v>
      </c>
      <c r="AD30" s="10">
        <f t="shared" ref="AD30:AP30" si="64">AD18/AD3</f>
        <v>-7.1590909090909101</v>
      </c>
      <c r="AE30" s="10">
        <f t="shared" si="64"/>
        <v>-7.6960556844547572</v>
      </c>
      <c r="AF30" s="10">
        <f t="shared" si="64"/>
        <v>-3.9369715603382001</v>
      </c>
      <c r="AG30" s="10">
        <f t="shared" si="64"/>
        <v>-2.4281609288401635</v>
      </c>
      <c r="AH30" s="10">
        <f t="shared" si="64"/>
        <v>-1.3593602145255534</v>
      </c>
      <c r="AI30" s="10">
        <f t="shared" si="64"/>
        <v>-0.78362285792305542</v>
      </c>
      <c r="AJ30" s="10">
        <f t="shared" si="64"/>
        <v>-0.41776709596531697</v>
      </c>
      <c r="AK30" s="10">
        <f t="shared" si="64"/>
        <v>-0.16744026261162342</v>
      </c>
      <c r="AL30" s="10">
        <f t="shared" si="64"/>
        <v>-3.7490521764369934E-2</v>
      </c>
      <c r="AM30" s="10">
        <f t="shared" si="64"/>
        <v>5.1926793913838344E-2</v>
      </c>
      <c r="AN30" s="10">
        <f t="shared" si="64"/>
        <v>0.10900392906313321</v>
      </c>
      <c r="AO30" s="10">
        <f t="shared" si="64"/>
        <v>0.14840410603139384</v>
      </c>
      <c r="AP30" s="10">
        <f t="shared" si="64"/>
        <v>0.16219762696242648</v>
      </c>
      <c r="AS30" s="1" t="s">
        <v>59</v>
      </c>
      <c r="AT30" s="9">
        <f>AT28/AT29-1</f>
        <v>-0.74864535243623043</v>
      </c>
    </row>
    <row r="31" spans="2:160" x14ac:dyDescent="0.3">
      <c r="AS31" t="s">
        <v>60</v>
      </c>
      <c r="AT31" s="6" t="s">
        <v>61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2025-01-08T06:52:34Z</dcterms:created>
  <dcterms:modified xsi:type="dcterms:W3CDTF">2026-02-26T12:18:56Z</dcterms:modified>
</cp:coreProperties>
</file>