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20D7D528-85F4-4C8B-9F83-392D3CC0699C}" xr6:coauthVersionLast="47" xr6:coauthVersionMax="47" xr10:uidLastSave="{00000000-0000-0000-0000-000000000000}"/>
  <bookViews>
    <workbookView xWindow="-108" yWindow="-108" windowWidth="23256" windowHeight="12576" activeTab="1" xr2:uid="{4FA626FF-4A3D-49DE-9837-5D4007C2FA44}"/>
  </bookViews>
  <sheets>
    <sheet name="Main" sheetId="1" r:id="rId1"/>
    <sheet name="Model" sheetId="2" r:id="rId2"/>
    <sheet name="Forecas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7" i="2" l="1"/>
  <c r="X7" i="2"/>
  <c r="Y7" i="2"/>
  <c r="Z7" i="2"/>
  <c r="AA7" i="2"/>
  <c r="AB7" i="2"/>
  <c r="AC7" i="2"/>
  <c r="AD7" i="2"/>
  <c r="AE7" i="2"/>
  <c r="AF7" i="2"/>
  <c r="Z6" i="2"/>
  <c r="AA6" i="2" s="1"/>
  <c r="AB6" i="2" s="1"/>
  <c r="AC6" i="2" s="1"/>
  <c r="AD6" i="2" s="1"/>
  <c r="AE6" i="2" s="1"/>
  <c r="AF6" i="2" s="1"/>
  <c r="Y6" i="2"/>
  <c r="X6" i="2"/>
  <c r="W6" i="2"/>
  <c r="W5" i="2"/>
  <c r="N5" i="2"/>
  <c r="N6" i="2"/>
  <c r="M6" i="2"/>
  <c r="M5" i="2"/>
  <c r="M26" i="2"/>
  <c r="M12" i="2"/>
  <c r="M32" i="2" s="1"/>
  <c r="AI34" i="2"/>
  <c r="AI31" i="2"/>
  <c r="AF23" i="2"/>
  <c r="AE23" i="2"/>
  <c r="AD23" i="2"/>
  <c r="AC23" i="2"/>
  <c r="AB23" i="2"/>
  <c r="AA23" i="2"/>
  <c r="Z23" i="2"/>
  <c r="Y23" i="2"/>
  <c r="X23" i="2"/>
  <c r="W23" i="2"/>
  <c r="N23" i="2"/>
  <c r="M23" i="2"/>
  <c r="M16" i="2"/>
  <c r="M33" i="2"/>
  <c r="V19" i="2"/>
  <c r="V18" i="2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V15" i="2"/>
  <c r="V14" i="2"/>
  <c r="V13" i="2"/>
  <c r="V23" i="2"/>
  <c r="U30" i="2"/>
  <c r="T30" i="2"/>
  <c r="S30" i="2"/>
  <c r="R30" i="2"/>
  <c r="Q30" i="2"/>
  <c r="P30" i="2"/>
  <c r="U29" i="2"/>
  <c r="T29" i="2"/>
  <c r="S29" i="2"/>
  <c r="R29" i="2"/>
  <c r="Q29" i="2"/>
  <c r="P29" i="2"/>
  <c r="K30" i="2"/>
  <c r="I30" i="2"/>
  <c r="H30" i="2"/>
  <c r="G30" i="2"/>
  <c r="K29" i="2"/>
  <c r="I29" i="2"/>
  <c r="H29" i="2"/>
  <c r="G29" i="2"/>
  <c r="L30" i="2"/>
  <c r="L29" i="2"/>
  <c r="T33" i="2"/>
  <c r="S33" i="2"/>
  <c r="R33" i="2"/>
  <c r="Q33" i="2"/>
  <c r="T32" i="2"/>
  <c r="S32" i="2"/>
  <c r="R32" i="2"/>
  <c r="Q32" i="2"/>
  <c r="T27" i="2"/>
  <c r="S27" i="2"/>
  <c r="R27" i="2"/>
  <c r="Q27" i="2"/>
  <c r="T26" i="2"/>
  <c r="S26" i="2"/>
  <c r="R26" i="2"/>
  <c r="Q26" i="2"/>
  <c r="U33" i="2"/>
  <c r="U32" i="2"/>
  <c r="U27" i="2"/>
  <c r="U26" i="2"/>
  <c r="P23" i="2"/>
  <c r="P16" i="2"/>
  <c r="P10" i="2"/>
  <c r="P7" i="2"/>
  <c r="Q23" i="2"/>
  <c r="Q16" i="2"/>
  <c r="Q10" i="2"/>
  <c r="Q7" i="2"/>
  <c r="Q28" i="2" s="1"/>
  <c r="R23" i="2"/>
  <c r="R16" i="2"/>
  <c r="R10" i="2"/>
  <c r="R7" i="2"/>
  <c r="K33" i="2"/>
  <c r="I33" i="2"/>
  <c r="K32" i="2"/>
  <c r="I32" i="2"/>
  <c r="E30" i="2"/>
  <c r="E29" i="2"/>
  <c r="K27" i="2"/>
  <c r="I27" i="2"/>
  <c r="K26" i="2"/>
  <c r="I26" i="2"/>
  <c r="L33" i="2"/>
  <c r="L32" i="2"/>
  <c r="L27" i="2"/>
  <c r="L26" i="2"/>
  <c r="J21" i="2"/>
  <c r="J19" i="2"/>
  <c r="J18" i="2"/>
  <c r="J15" i="2"/>
  <c r="J14" i="2"/>
  <c r="N33" i="2" s="1"/>
  <c r="J13" i="2"/>
  <c r="J12" i="2"/>
  <c r="N12" i="2" s="1"/>
  <c r="N32" i="2" s="1"/>
  <c r="J9" i="2"/>
  <c r="J8" i="2"/>
  <c r="J6" i="2"/>
  <c r="J5" i="2"/>
  <c r="J23" i="2"/>
  <c r="J10" i="2"/>
  <c r="E23" i="2"/>
  <c r="E16" i="2"/>
  <c r="E10" i="2"/>
  <c r="E7" i="2"/>
  <c r="I23" i="2"/>
  <c r="I16" i="2"/>
  <c r="I10" i="2"/>
  <c r="I7" i="2"/>
  <c r="I28" i="2" s="1"/>
  <c r="S19" i="2"/>
  <c r="S23" i="2"/>
  <c r="S16" i="2"/>
  <c r="S10" i="2"/>
  <c r="S7" i="2"/>
  <c r="S28" i="2" s="1"/>
  <c r="T23" i="2"/>
  <c r="T16" i="2"/>
  <c r="T10" i="2"/>
  <c r="T7" i="2"/>
  <c r="T28" i="2" s="1"/>
  <c r="U16" i="2"/>
  <c r="L16" i="2"/>
  <c r="K16" i="2"/>
  <c r="H16" i="2"/>
  <c r="G16" i="2"/>
  <c r="U23" i="2"/>
  <c r="U10" i="2"/>
  <c r="U7" i="2"/>
  <c r="U28" i="2" s="1"/>
  <c r="G23" i="2"/>
  <c r="G10" i="2"/>
  <c r="G7" i="2"/>
  <c r="K23" i="2"/>
  <c r="K10" i="2"/>
  <c r="K7" i="2"/>
  <c r="K28" i="2" s="1"/>
  <c r="H23" i="2"/>
  <c r="H10" i="2"/>
  <c r="H7" i="2"/>
  <c r="L23" i="2"/>
  <c r="L10" i="2"/>
  <c r="L7" i="2"/>
  <c r="L11" i="2" s="1"/>
  <c r="L31" i="2" s="1"/>
  <c r="D8" i="1"/>
  <c r="D7" i="1"/>
  <c r="D6" i="1"/>
  <c r="D5" i="1"/>
  <c r="D9" i="1" s="1"/>
  <c r="D4" i="1"/>
  <c r="F3" i="1"/>
  <c r="L45" i="2" l="1"/>
  <c r="L46" i="2"/>
  <c r="N26" i="2"/>
  <c r="M7" i="2"/>
  <c r="M28" i="2" s="1"/>
  <c r="J29" i="2"/>
  <c r="R28" i="2"/>
  <c r="M8" i="2"/>
  <c r="M29" i="2" s="1"/>
  <c r="V8" i="2"/>
  <c r="N9" i="2"/>
  <c r="N30" i="2" s="1"/>
  <c r="N27" i="2"/>
  <c r="J7" i="2"/>
  <c r="J11" i="2" s="1"/>
  <c r="L28" i="2"/>
  <c r="N8" i="2"/>
  <c r="J30" i="2"/>
  <c r="N7" i="2"/>
  <c r="W14" i="2"/>
  <c r="X14" i="2" s="1"/>
  <c r="V5" i="2"/>
  <c r="N29" i="2"/>
  <c r="V6" i="2"/>
  <c r="V27" i="2" s="1"/>
  <c r="M9" i="2"/>
  <c r="M30" i="2" s="1"/>
  <c r="J16" i="2"/>
  <c r="M27" i="2"/>
  <c r="N16" i="2"/>
  <c r="V12" i="2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V33" i="2"/>
  <c r="P11" i="2"/>
  <c r="Q11" i="2"/>
  <c r="R11" i="2"/>
  <c r="E11" i="2"/>
  <c r="E17" i="2" s="1"/>
  <c r="I11" i="2"/>
  <c r="S11" i="2"/>
  <c r="T11" i="2"/>
  <c r="L17" i="2"/>
  <c r="U11" i="2"/>
  <c r="U31" i="2" s="1"/>
  <c r="G11" i="2"/>
  <c r="G31" i="2" s="1"/>
  <c r="K11" i="2"/>
  <c r="K31" i="2" s="1"/>
  <c r="H11" i="2"/>
  <c r="H31" i="2" s="1"/>
  <c r="M10" i="2" l="1"/>
  <c r="M11" i="2" s="1"/>
  <c r="M31" i="2" s="1"/>
  <c r="V29" i="2"/>
  <c r="V7" i="2"/>
  <c r="J17" i="2"/>
  <c r="J31" i="2"/>
  <c r="P17" i="2"/>
  <c r="P31" i="2"/>
  <c r="W8" i="2"/>
  <c r="X5" i="2"/>
  <c r="S17" i="2"/>
  <c r="S31" i="2"/>
  <c r="Y14" i="2"/>
  <c r="X33" i="2"/>
  <c r="V26" i="2"/>
  <c r="E20" i="2"/>
  <c r="E34" i="2"/>
  <c r="V9" i="2"/>
  <c r="T17" i="2"/>
  <c r="T31" i="2"/>
  <c r="W26" i="2"/>
  <c r="I17" i="2"/>
  <c r="I31" i="2"/>
  <c r="N28" i="2"/>
  <c r="W27" i="2"/>
  <c r="W33" i="2"/>
  <c r="N10" i="2"/>
  <c r="N11" i="2" s="1"/>
  <c r="R17" i="2"/>
  <c r="R31" i="2"/>
  <c r="Q17" i="2"/>
  <c r="Q31" i="2"/>
  <c r="V32" i="2"/>
  <c r="V16" i="2"/>
  <c r="W32" i="2"/>
  <c r="L20" i="2"/>
  <c r="L34" i="2"/>
  <c r="V28" i="2"/>
  <c r="H17" i="2"/>
  <c r="K17" i="2"/>
  <c r="G17" i="2"/>
  <c r="U17" i="2"/>
  <c r="M17" i="2" l="1"/>
  <c r="M34" i="2" s="1"/>
  <c r="N31" i="2"/>
  <c r="N17" i="2"/>
  <c r="N20" i="2" s="1"/>
  <c r="S20" i="2"/>
  <c r="S34" i="2"/>
  <c r="J20" i="2"/>
  <c r="J34" i="2"/>
  <c r="K20" i="2"/>
  <c r="K34" i="2"/>
  <c r="W9" i="2"/>
  <c r="W30" i="2" s="1"/>
  <c r="V10" i="2"/>
  <c r="V11" i="2" s="1"/>
  <c r="V17" i="2" s="1"/>
  <c r="V30" i="2"/>
  <c r="Y5" i="2"/>
  <c r="X26" i="2"/>
  <c r="X8" i="2"/>
  <c r="X29" i="2" s="1"/>
  <c r="R20" i="2"/>
  <c r="R34" i="2"/>
  <c r="P20" i="2"/>
  <c r="P34" i="2"/>
  <c r="H20" i="2"/>
  <c r="H34" i="2"/>
  <c r="E22" i="2"/>
  <c r="E35" i="2"/>
  <c r="W28" i="2"/>
  <c r="I20" i="2"/>
  <c r="I34" i="2"/>
  <c r="Y33" i="2"/>
  <c r="Z14" i="2"/>
  <c r="U20" i="2"/>
  <c r="U34" i="2"/>
  <c r="G20" i="2"/>
  <c r="G34" i="2"/>
  <c r="T20" i="2"/>
  <c r="T34" i="2"/>
  <c r="W10" i="2"/>
  <c r="Q20" i="2"/>
  <c r="Q34" i="2"/>
  <c r="W29" i="2"/>
  <c r="W16" i="2"/>
  <c r="M20" i="2"/>
  <c r="L22" i="2"/>
  <c r="L35" i="2"/>
  <c r="N34" i="2" l="1"/>
  <c r="X28" i="2"/>
  <c r="V31" i="2"/>
  <c r="W11" i="2"/>
  <c r="W31" i="2" s="1"/>
  <c r="E24" i="2"/>
  <c r="E36" i="2"/>
  <c r="Y8" i="2"/>
  <c r="Y29" i="2" s="1"/>
  <c r="Z5" i="2"/>
  <c r="Y26" i="2"/>
  <c r="J35" i="2"/>
  <c r="J22" i="2"/>
  <c r="J36" i="2" s="1"/>
  <c r="P22" i="2"/>
  <c r="P35" i="2"/>
  <c r="U22" i="2"/>
  <c r="U35" i="2"/>
  <c r="Q22" i="2"/>
  <c r="Q35" i="2"/>
  <c r="I22" i="2"/>
  <c r="I35" i="2"/>
  <c r="S22" i="2"/>
  <c r="S35" i="2"/>
  <c r="H22" i="2"/>
  <c r="H35" i="2"/>
  <c r="R22" i="2"/>
  <c r="R35" i="2"/>
  <c r="K22" i="2"/>
  <c r="K35" i="2"/>
  <c r="Z33" i="2"/>
  <c r="AA14" i="2"/>
  <c r="T22" i="2"/>
  <c r="T35" i="2"/>
  <c r="G22" i="2"/>
  <c r="G35" i="2"/>
  <c r="X27" i="2"/>
  <c r="X9" i="2"/>
  <c r="X10" i="2" s="1"/>
  <c r="X11" i="2" s="1"/>
  <c r="X31" i="2" s="1"/>
  <c r="X32" i="2"/>
  <c r="X16" i="2"/>
  <c r="N21" i="2"/>
  <c r="N35" i="2" s="1"/>
  <c r="M21" i="2"/>
  <c r="M22" i="2" s="1"/>
  <c r="L24" i="2"/>
  <c r="L36" i="2"/>
  <c r="V20" i="2"/>
  <c r="V34" i="2"/>
  <c r="Y28" i="2" l="1"/>
  <c r="J24" i="2"/>
  <c r="W17" i="2"/>
  <c r="X17" i="2"/>
  <c r="X34" i="2" s="1"/>
  <c r="X30" i="2"/>
  <c r="Q24" i="2"/>
  <c r="Q36" i="2"/>
  <c r="T24" i="2"/>
  <c r="T36" i="2"/>
  <c r="H24" i="2"/>
  <c r="H36" i="2"/>
  <c r="U24" i="2"/>
  <c r="U36" i="2"/>
  <c r="Z8" i="2"/>
  <c r="Z29" i="2" s="1"/>
  <c r="AA5" i="2"/>
  <c r="Z26" i="2"/>
  <c r="G24" i="2"/>
  <c r="G36" i="2"/>
  <c r="S24" i="2"/>
  <c r="S36" i="2"/>
  <c r="P24" i="2"/>
  <c r="P36" i="2"/>
  <c r="R24" i="2"/>
  <c r="R36" i="2"/>
  <c r="Y27" i="2"/>
  <c r="Y9" i="2"/>
  <c r="Y10" i="2" s="1"/>
  <c r="AB14" i="2"/>
  <c r="AA33" i="2"/>
  <c r="K24" i="2"/>
  <c r="K36" i="2"/>
  <c r="I24" i="2"/>
  <c r="I36" i="2"/>
  <c r="Y32" i="2"/>
  <c r="Y16" i="2"/>
  <c r="N22" i="2"/>
  <c r="M24" i="2"/>
  <c r="M36" i="2"/>
  <c r="M35" i="2"/>
  <c r="V21" i="2"/>
  <c r="V22" i="2" s="1"/>
  <c r="Y11" i="2" l="1"/>
  <c r="Y31" i="2" s="1"/>
  <c r="Y30" i="2"/>
  <c r="X20" i="2"/>
  <c r="X21" i="2" s="1"/>
  <c r="X35" i="2" s="1"/>
  <c r="W20" i="2"/>
  <c r="W21" i="2" s="1"/>
  <c r="W35" i="2" s="1"/>
  <c r="W34" i="2"/>
  <c r="Z9" i="2"/>
  <c r="Z10" i="2" s="1"/>
  <c r="Z27" i="2"/>
  <c r="AC14" i="2"/>
  <c r="AB33" i="2"/>
  <c r="AA8" i="2"/>
  <c r="AA29" i="2" s="1"/>
  <c r="AB5" i="2"/>
  <c r="AA26" i="2"/>
  <c r="Z32" i="2"/>
  <c r="Z16" i="2"/>
  <c r="V35" i="2"/>
  <c r="N24" i="2"/>
  <c r="N36" i="2"/>
  <c r="V24" i="2"/>
  <c r="V36" i="2"/>
  <c r="Y17" i="2" l="1"/>
  <c r="Y20" i="2" s="1"/>
  <c r="Y21" i="2" s="1"/>
  <c r="Y35" i="2" s="1"/>
  <c r="W22" i="2"/>
  <c r="W24" i="2" s="1"/>
  <c r="AA28" i="2"/>
  <c r="AC5" i="2"/>
  <c r="AB8" i="2"/>
  <c r="AB29" i="2" s="1"/>
  <c r="AB26" i="2"/>
  <c r="AD14" i="2"/>
  <c r="AC33" i="2"/>
  <c r="Z28" i="2"/>
  <c r="Z11" i="2"/>
  <c r="Z31" i="2" s="1"/>
  <c r="AA9" i="2"/>
  <c r="AA10" i="2" s="1"/>
  <c r="AA11" i="2" s="1"/>
  <c r="AA31" i="2" s="1"/>
  <c r="AA27" i="2"/>
  <c r="Z30" i="2"/>
  <c r="X22" i="2"/>
  <c r="X24" i="2" s="1"/>
  <c r="AA32" i="2"/>
  <c r="AA16" i="2"/>
  <c r="Y34" i="2" l="1"/>
  <c r="AA30" i="2"/>
  <c r="W36" i="2"/>
  <c r="AD5" i="2"/>
  <c r="AC8" i="2"/>
  <c r="AC29" i="2" s="1"/>
  <c r="AC26" i="2"/>
  <c r="AD33" i="2"/>
  <c r="AE14" i="2"/>
  <c r="Z17" i="2"/>
  <c r="AA17" i="2"/>
  <c r="AA34" i="2" s="1"/>
  <c r="AB9" i="2"/>
  <c r="AB10" i="2" s="1"/>
  <c r="AB27" i="2"/>
  <c r="X36" i="2"/>
  <c r="Y22" i="2"/>
  <c r="AB32" i="2"/>
  <c r="AB16" i="2"/>
  <c r="AC28" i="2" l="1"/>
  <c r="AE5" i="2"/>
  <c r="AD8" i="2"/>
  <c r="AD29" i="2" s="1"/>
  <c r="AD26" i="2"/>
  <c r="Z20" i="2"/>
  <c r="Z34" i="2"/>
  <c r="AC9" i="2"/>
  <c r="AC10" i="2" s="1"/>
  <c r="AC11" i="2" s="1"/>
  <c r="AC31" i="2" s="1"/>
  <c r="AC27" i="2"/>
  <c r="AE33" i="2"/>
  <c r="AF14" i="2"/>
  <c r="AF33" i="2" s="1"/>
  <c r="AA20" i="2"/>
  <c r="AA21" i="2" s="1"/>
  <c r="AA35" i="2" s="1"/>
  <c r="AB11" i="2"/>
  <c r="AB31" i="2" s="1"/>
  <c r="AB28" i="2"/>
  <c r="AB30" i="2"/>
  <c r="Y24" i="2"/>
  <c r="Y36" i="2"/>
  <c r="AC16" i="2"/>
  <c r="AC32" i="2"/>
  <c r="AC17" i="2" l="1"/>
  <c r="AC20" i="2" s="1"/>
  <c r="AC30" i="2"/>
  <c r="AF5" i="2"/>
  <c r="AE8" i="2"/>
  <c r="AE29" i="2" s="1"/>
  <c r="AE26" i="2"/>
  <c r="AB17" i="2"/>
  <c r="Z21" i="2"/>
  <c r="Z35" i="2" s="1"/>
  <c r="AD9" i="2"/>
  <c r="AD10" i="2" s="1"/>
  <c r="AD27" i="2"/>
  <c r="AA22" i="2"/>
  <c r="AA36" i="2" s="1"/>
  <c r="AD32" i="2"/>
  <c r="AD16" i="2"/>
  <c r="AD30" i="2" l="1"/>
  <c r="AC34" i="2"/>
  <c r="AE28" i="2"/>
  <c r="AF28" i="2"/>
  <c r="AE9" i="2"/>
  <c r="AE10" i="2" s="1"/>
  <c r="AE11" i="2" s="1"/>
  <c r="AE31" i="2" s="1"/>
  <c r="AE27" i="2"/>
  <c r="AB34" i="2"/>
  <c r="AB20" i="2"/>
  <c r="AB21" i="2" s="1"/>
  <c r="AB35" i="2" s="1"/>
  <c r="AF8" i="2"/>
  <c r="AF29" i="2" s="1"/>
  <c r="AF26" i="2"/>
  <c r="Z22" i="2"/>
  <c r="AD28" i="2"/>
  <c r="AD11" i="2"/>
  <c r="AD31" i="2" s="1"/>
  <c r="AA24" i="2"/>
  <c r="AC21" i="2"/>
  <c r="AC35" i="2" s="1"/>
  <c r="AE16" i="2"/>
  <c r="AE32" i="2"/>
  <c r="AD17" i="2" l="1"/>
  <c r="AD20" i="2" s="1"/>
  <c r="AB22" i="2"/>
  <c r="AB36" i="2" s="1"/>
  <c r="AE30" i="2"/>
  <c r="AE17" i="2"/>
  <c r="AE34" i="2" s="1"/>
  <c r="AF9" i="2"/>
  <c r="AF10" i="2" s="1"/>
  <c r="AF11" i="2" s="1"/>
  <c r="AF31" i="2" s="1"/>
  <c r="AF27" i="2"/>
  <c r="Z24" i="2"/>
  <c r="Z36" i="2"/>
  <c r="AD21" i="2"/>
  <c r="AD35" i="2" s="1"/>
  <c r="AF16" i="2"/>
  <c r="AF32" i="2"/>
  <c r="AC22" i="2"/>
  <c r="AD34" i="2" l="1"/>
  <c r="AF30" i="2"/>
  <c r="AB24" i="2"/>
  <c r="AE20" i="2"/>
  <c r="AE21" i="2" s="1"/>
  <c r="AE35" i="2" s="1"/>
  <c r="AF17" i="2"/>
  <c r="AF20" i="2" s="1"/>
  <c r="AD22" i="2"/>
  <c r="AC36" i="2"/>
  <c r="AC24" i="2"/>
  <c r="AF34" i="2" l="1"/>
  <c r="AE22" i="2"/>
  <c r="AE24" i="2" s="1"/>
  <c r="AD24" i="2"/>
  <c r="AD36" i="2"/>
  <c r="AF21" i="2"/>
  <c r="AF35" i="2" s="1"/>
  <c r="AE36" i="2" l="1"/>
  <c r="AF22" i="2"/>
  <c r="AG22" i="2" s="1"/>
  <c r="AH22" i="2" s="1"/>
  <c r="AI22" i="2" s="1"/>
  <c r="AJ22" i="2" s="1"/>
  <c r="AK22" i="2" s="1"/>
  <c r="AL22" i="2" s="1"/>
  <c r="AM22" i="2" s="1"/>
  <c r="AN22" i="2" s="1"/>
  <c r="AO22" i="2" s="1"/>
  <c r="AP22" i="2" s="1"/>
  <c r="AQ22" i="2" s="1"/>
  <c r="AR22" i="2" s="1"/>
  <c r="AS22" i="2" s="1"/>
  <c r="AT22" i="2" s="1"/>
  <c r="AU22" i="2" s="1"/>
  <c r="AV22" i="2" s="1"/>
  <c r="AW22" i="2" s="1"/>
  <c r="AX22" i="2" s="1"/>
  <c r="AY22" i="2" s="1"/>
  <c r="AZ22" i="2" s="1"/>
  <c r="BA22" i="2" s="1"/>
  <c r="BB22" i="2" s="1"/>
  <c r="BC22" i="2" s="1"/>
  <c r="BD22" i="2" s="1"/>
  <c r="BE22" i="2" s="1"/>
  <c r="BF22" i="2" s="1"/>
  <c r="BG22" i="2" s="1"/>
  <c r="BH22" i="2" s="1"/>
  <c r="BI22" i="2" s="1"/>
  <c r="BJ22" i="2" s="1"/>
  <c r="BK22" i="2" s="1"/>
  <c r="BL22" i="2" s="1"/>
  <c r="BM22" i="2" s="1"/>
  <c r="BN22" i="2" s="1"/>
  <c r="BO22" i="2" s="1"/>
  <c r="BP22" i="2" s="1"/>
  <c r="BQ22" i="2" s="1"/>
  <c r="BR22" i="2" s="1"/>
  <c r="BS22" i="2" s="1"/>
  <c r="BT22" i="2" s="1"/>
  <c r="BU22" i="2" s="1"/>
  <c r="BV22" i="2" s="1"/>
  <c r="BW22" i="2" s="1"/>
  <c r="BX22" i="2" s="1"/>
  <c r="BY22" i="2" s="1"/>
  <c r="BZ22" i="2" s="1"/>
  <c r="CA22" i="2" s="1"/>
  <c r="CB22" i="2" s="1"/>
  <c r="CC22" i="2" s="1"/>
  <c r="CD22" i="2" s="1"/>
  <c r="CE22" i="2" s="1"/>
  <c r="CF22" i="2" s="1"/>
  <c r="CG22" i="2" s="1"/>
  <c r="CH22" i="2" s="1"/>
  <c r="CI22" i="2" s="1"/>
  <c r="CJ22" i="2" s="1"/>
  <c r="CK22" i="2" s="1"/>
  <c r="CL22" i="2" s="1"/>
  <c r="CM22" i="2" s="1"/>
  <c r="CN22" i="2" s="1"/>
  <c r="CO22" i="2" s="1"/>
  <c r="CP22" i="2" s="1"/>
  <c r="CQ22" i="2" s="1"/>
  <c r="CR22" i="2" s="1"/>
  <c r="CS22" i="2" s="1"/>
  <c r="CT22" i="2" s="1"/>
  <c r="CU22" i="2" s="1"/>
  <c r="CV22" i="2" s="1"/>
  <c r="CW22" i="2" s="1"/>
  <c r="CX22" i="2" s="1"/>
  <c r="CY22" i="2" s="1"/>
  <c r="CZ22" i="2" s="1"/>
  <c r="DA22" i="2" s="1"/>
  <c r="DB22" i="2" s="1"/>
  <c r="DC22" i="2" s="1"/>
  <c r="DD22" i="2" s="1"/>
  <c r="DE22" i="2" s="1"/>
  <c r="DF22" i="2" s="1"/>
  <c r="DG22" i="2" s="1"/>
  <c r="DH22" i="2" s="1"/>
  <c r="DI22" i="2" s="1"/>
  <c r="DJ22" i="2" s="1"/>
  <c r="DK22" i="2" s="1"/>
  <c r="DL22" i="2" s="1"/>
  <c r="DM22" i="2" s="1"/>
  <c r="DN22" i="2" s="1"/>
  <c r="DO22" i="2" s="1"/>
  <c r="DP22" i="2" s="1"/>
  <c r="DQ22" i="2" s="1"/>
  <c r="DR22" i="2" s="1"/>
  <c r="DS22" i="2" s="1"/>
  <c r="DT22" i="2" s="1"/>
  <c r="DU22" i="2" s="1"/>
  <c r="DV22" i="2" s="1"/>
  <c r="DW22" i="2" s="1"/>
  <c r="DX22" i="2" s="1"/>
  <c r="DY22" i="2" s="1"/>
  <c r="DZ22" i="2" s="1"/>
  <c r="EA22" i="2" s="1"/>
  <c r="EB22" i="2" s="1"/>
  <c r="EC22" i="2" s="1"/>
  <c r="ED22" i="2" s="1"/>
  <c r="EE22" i="2" s="1"/>
  <c r="EF22" i="2" s="1"/>
  <c r="EG22" i="2" s="1"/>
  <c r="AI30" i="2" s="1"/>
  <c r="AI32" i="2" s="1"/>
  <c r="AI33" i="2" s="1"/>
  <c r="AI35" i="2" s="1"/>
  <c r="AF24" i="2" l="1"/>
  <c r="AF36" i="2"/>
</calcChain>
</file>

<file path=xl/sharedStrings.xml><?xml version="1.0" encoding="utf-8"?>
<sst xmlns="http://schemas.openxmlformats.org/spreadsheetml/2006/main" count="111" uniqueCount="103">
  <si>
    <t>KTOS</t>
  </si>
  <si>
    <t>Price</t>
  </si>
  <si>
    <t>Shares</t>
  </si>
  <si>
    <t>MC</t>
  </si>
  <si>
    <t>Cash</t>
  </si>
  <si>
    <t>Debt</t>
  </si>
  <si>
    <t>EV</t>
  </si>
  <si>
    <t>Net Cash</t>
  </si>
  <si>
    <t>Last checked</t>
  </si>
  <si>
    <t>Today</t>
  </si>
  <si>
    <t>Earnings</t>
  </si>
  <si>
    <t>Q225</t>
  </si>
  <si>
    <t>Gross profit</t>
  </si>
  <si>
    <t>Total revenue</t>
  </si>
  <si>
    <t>Service revenue</t>
  </si>
  <si>
    <t>Product revenue</t>
  </si>
  <si>
    <t>Service cost</t>
  </si>
  <si>
    <t>Product cost</t>
  </si>
  <si>
    <t>Total cost of sales</t>
  </si>
  <si>
    <t>SG&amp;A</t>
  </si>
  <si>
    <t>R&amp;D</t>
  </si>
  <si>
    <t>Operating profit</t>
  </si>
  <si>
    <t>Interest income</t>
  </si>
  <si>
    <t>Other income</t>
  </si>
  <si>
    <t>Pretax profit</t>
  </si>
  <si>
    <t>Taxes</t>
  </si>
  <si>
    <t>Net profit</t>
  </si>
  <si>
    <t>EPS</t>
  </si>
  <si>
    <t>Q124</t>
  </si>
  <si>
    <t>Q224</t>
  </si>
  <si>
    <t>Q324</t>
  </si>
  <si>
    <t>Q424</t>
  </si>
  <si>
    <t>Q125</t>
  </si>
  <si>
    <t>Q325</t>
  </si>
  <si>
    <t>Q425</t>
  </si>
  <si>
    <t>Q123</t>
  </si>
  <si>
    <t>Q223</t>
  </si>
  <si>
    <t>Q323</t>
  </si>
  <si>
    <t>Q423</t>
  </si>
  <si>
    <t>Total opex</t>
  </si>
  <si>
    <t>Restructuring</t>
  </si>
  <si>
    <t>Investments</t>
  </si>
  <si>
    <t>Service revenue y/y</t>
  </si>
  <si>
    <t>Product revenue y/y</t>
  </si>
  <si>
    <t>Total revenue y/y</t>
  </si>
  <si>
    <t>Service Margin</t>
  </si>
  <si>
    <t>Product Margin</t>
  </si>
  <si>
    <t>Gross Margin</t>
  </si>
  <si>
    <t>SG&amp;A y/y</t>
  </si>
  <si>
    <t>R&amp;D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</si>
  <si>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</si>
  <si>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</si>
  <si>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</si>
  <si>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</si>
  <si>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</si>
  <si>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</si>
  <si>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</si>
  <si>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</si>
  <si>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</si>
  <si>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</si>
  <si>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</si>
  <si>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Heavily overvalued</t>
  </si>
  <si>
    <t>MQ-58B</t>
  </si>
  <si>
    <t>Annual</t>
  </si>
  <si>
    <t>196M</t>
  </si>
  <si>
    <t>224M</t>
  </si>
  <si>
    <t>229M</t>
  </si>
  <si>
    <t>249M</t>
  </si>
  <si>
    <t>898M</t>
  </si>
  <si>
    <t>232M</t>
  </si>
  <si>
    <t>257M</t>
  </si>
  <si>
    <t>275M</t>
  </si>
  <si>
    <t>274M</t>
  </si>
  <si>
    <t>1.04B</t>
  </si>
  <si>
    <t>277M</t>
  </si>
  <si>
    <t>300M</t>
  </si>
  <si>
    <t>276M</t>
  </si>
  <si>
    <t>283M</t>
  </si>
  <si>
    <t>1.14B</t>
  </si>
  <si>
    <t>303M</t>
  </si>
  <si>
    <t>352M</t>
  </si>
  <si>
    <t>323M</t>
  </si>
  <si>
    <t>334M</t>
  </si>
  <si>
    <t>1.31B</t>
  </si>
  <si>
    <t>347M</t>
  </si>
  <si>
    <t>386M</t>
  </si>
  <si>
    <t>391M</t>
  </si>
  <si>
    <t>406M</t>
  </si>
  <si>
    <t>1.54B</t>
  </si>
  <si>
    <t>419M</t>
  </si>
  <si>
    <t>443M</t>
  </si>
  <si>
    <t>465M</t>
  </si>
  <si>
    <t>-</t>
  </si>
  <si>
    <t>Data as of 30/09/25</t>
  </si>
  <si>
    <t>Revenue</t>
  </si>
  <si>
    <t>Q1 (Mar)</t>
  </si>
  <si>
    <t>Q2 (Jun)</t>
  </si>
  <si>
    <t>Q3 (Sep)</t>
  </si>
  <si>
    <t>Q4 (Dec)</t>
  </si>
  <si>
    <t>A/R</t>
  </si>
  <si>
    <t>L+S/E</t>
  </si>
  <si>
    <t>EV/B</t>
  </si>
  <si>
    <t>B/EV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</si>
</sst>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\x"/>
  </numFmts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Arial Unicode MS"/>
    </font>
    <font>
      <sz val="10"/>
      <color theme="0"/>
      <name val="Arial"/>
      <family val="2"/>
    </font>
    <font>
      <sz val="10"/>
      <color theme="5" tint="0.39997558519241921"/>
      <name val="Arial"/>
      <family val="2"/>
    </font>
    <font>
      <u/>
      <sz val="10"/>
      <color theme="0"/>
      <name val="Arial"/>
      <family val="2"/>
    </font>
    <font>
      <b/>
      <u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5" tint="0.3999755851924192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5" tint="0.39997558519241921"/>
      </left>
      <right style="thin">
        <color theme="2" tint="-0.749992370372631"/>
      </right>
      <top style="thin">
        <color theme="5" tint="0.3999755851924192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5" tint="0.3999755851924192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5" tint="0.39997558519241921"/>
      </right>
      <top style="thin">
        <color theme="5" tint="0.39997558519241921"/>
      </top>
      <bottom style="thin">
        <color theme="2" tint="-0.749992370372631"/>
      </bottom>
      <diagonal/>
    </border>
    <border>
      <left style="thin">
        <color theme="5" tint="0.3999755851924192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5" tint="0.39997558519241921"/>
      </left>
      <right style="thin">
        <color theme="2" tint="-0.749992370372631"/>
      </right>
      <top style="thin">
        <color theme="2" tint="-0.749992370372631"/>
      </top>
      <bottom style="thin">
        <color theme="5" tint="0.3999755851924192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5" tint="0.39997558519241921"/>
      </bottom>
      <diagonal/>
    </border>
    <border>
      <left style="thin">
        <color theme="2" tint="-0.749992370372631"/>
      </left>
      <right style="thin">
        <color theme="5" tint="0.39997558519241921"/>
      </right>
      <top style="thin">
        <color theme="2" tint="-0.749992370372631"/>
      </top>
      <bottom style="thin">
        <color theme="5" tint="0.39997558519241921"/>
      </bottom>
      <diagonal/>
    </border>
    <border>
      <left style="thin">
        <color theme="5" tint="0.3999755851924192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5" tint="0.39997558519241921"/>
      </right>
      <top/>
      <bottom style="thin">
        <color theme="2" tint="-0.74999237037263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64" fontId="2" fillId="2" borderId="1" xfId="0" applyNumberFormat="1" applyFont="1" applyFill="1" applyBorder="1"/>
    <xf numFmtId="14" fontId="3" fillId="2" borderId="1" xfId="0" applyNumberFormat="1" applyFont="1" applyFill="1" applyBorder="1" applyAlignment="1">
      <alignment horizontal="right"/>
    </xf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6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6" fillId="2" borderId="6" xfId="0" applyFont="1" applyFill="1" applyBorder="1" applyAlignment="1">
      <alignment horizontal="right" vertical="center"/>
    </xf>
    <xf numFmtId="0" fontId="6" fillId="2" borderId="6" xfId="0" quotePrefix="1" applyFont="1" applyFill="1" applyBorder="1" applyAlignment="1">
      <alignment horizontal="right" vertical="center"/>
    </xf>
    <xf numFmtId="0" fontId="7" fillId="2" borderId="12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right" vertical="center"/>
    </xf>
    <xf numFmtId="0" fontId="6" fillId="2" borderId="13" xfId="0" quotePrefix="1" applyFont="1" applyFill="1" applyBorder="1" applyAlignment="1">
      <alignment horizontal="right"/>
    </xf>
    <xf numFmtId="0" fontId="7" fillId="2" borderId="5" xfId="0" applyFont="1" applyFill="1" applyBorder="1" applyAlignment="1">
      <alignment horizontal="right" vertical="center"/>
    </xf>
    <xf numFmtId="0" fontId="6" fillId="2" borderId="5" xfId="0" applyFont="1" applyFill="1" applyBorder="1" applyAlignment="1">
      <alignment horizontal="right" vertical="center"/>
    </xf>
    <xf numFmtId="0" fontId="6" fillId="2" borderId="15" xfId="0" applyFont="1" applyFill="1" applyBorder="1" applyAlignment="1">
      <alignment horizontal="right" vertical="center"/>
    </xf>
    <xf numFmtId="0" fontId="6" fillId="3" borderId="8" xfId="0" applyFont="1" applyFill="1" applyBorder="1" applyAlignment="1">
      <alignment horizontal="right"/>
    </xf>
    <xf numFmtId="0" fontId="6" fillId="3" borderId="9" xfId="0" applyFont="1" applyFill="1" applyBorder="1" applyAlignment="1">
      <alignment horizontal="right"/>
    </xf>
    <xf numFmtId="0" fontId="8" fillId="3" borderId="7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9" fillId="2" borderId="1" xfId="0" applyFont="1" applyFill="1" applyBorder="1"/>
    <xf numFmtId="165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</xdr:colOff>
      <xdr:row>0</xdr:row>
      <xdr:rowOff>7620</xdr:rowOff>
    </xdr:from>
    <xdr:to>
      <xdr:col>12</xdr:col>
      <xdr:colOff>15240</xdr:colOff>
      <xdr:row>40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B4B1400-3D6B-02B8-71F3-082D1B356E15}"/>
            </a:ext>
          </a:extLst>
        </xdr:cNvPr>
        <xdr:cNvCxnSpPr/>
      </xdr:nvCxnSpPr>
      <xdr:spPr>
        <a:xfrm>
          <a:off x="7924800" y="7620"/>
          <a:ext cx="0" cy="7048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38100</xdr:colOff>
      <xdr:row>0</xdr:row>
      <xdr:rowOff>0</xdr:rowOff>
    </xdr:from>
    <xdr:to>
      <xdr:col>21</xdr:col>
      <xdr:colOff>38100</xdr:colOff>
      <xdr:row>40</xdr:row>
      <xdr:rowOff>106680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94E3B0E-1264-4179-AAEB-BADDC789BCE0}"/>
            </a:ext>
          </a:extLst>
        </xdr:cNvPr>
        <xdr:cNvCxnSpPr/>
      </xdr:nvCxnSpPr>
      <xdr:spPr>
        <a:xfrm>
          <a:off x="13434060" y="0"/>
          <a:ext cx="0" cy="70561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50F1-21AE-470A-85EA-C490AC7F5878}">
  <dimension ref="B2:G9"/>
  <sheetViews>
    <sheetView workbookViewId="0">
      <selection activeCell="D4" sqref="D4"/>
    </sheetView>
  </sheetViews>
  <sheetFormatPr defaultRowHeight="14.4"/>
  <cols>
    <col min="1" max="4" width="8.88671875" style="1"/>
    <col min="5" max="5" width="11.88671875" style="3" bestFit="1" customWidth="1"/>
    <col min="6" max="7" width="11.21875" style="3" bestFit="1" customWidth="1"/>
    <col min="8" max="16384" width="8.88671875" style="1"/>
  </cols>
  <sheetData>
    <row r="2" spans="2:7">
      <c r="E2" s="3" t="s">
        <v>8</v>
      </c>
      <c r="F2" s="3" t="s">
        <v>9</v>
      </c>
      <c r="G2" s="3" t="s">
        <v>10</v>
      </c>
    </row>
    <row r="3" spans="2:7">
      <c r="B3" s="2" t="s">
        <v>0</v>
      </c>
      <c r="C3" s="1" t="s">
        <v>1</v>
      </c>
      <c r="D3" s="4">
        <v>107.54</v>
      </c>
      <c r="E3" s="5">
        <v>45939</v>
      </c>
      <c r="F3" s="5">
        <f ca="1">TODAY()</f>
        <v>45939</v>
      </c>
      <c r="G3" s="5">
        <v>45960</v>
      </c>
    </row>
    <row r="4" spans="2:7">
      <c r="C4" s="1" t="s">
        <v>2</v>
      </c>
      <c r="D4" s="6">
        <f>168.8</f>
        <v>168.8</v>
      </c>
      <c r="E4" s="3" t="s">
        <v>11</v>
      </c>
    </row>
    <row r="5" spans="2:7">
      <c r="C5" s="1" t="s">
        <v>3</v>
      </c>
      <c r="D5" s="6">
        <f>D3*D4</f>
        <v>18152.752000000004</v>
      </c>
    </row>
    <row r="6" spans="2:7">
      <c r="C6" s="1" t="s">
        <v>4</v>
      </c>
      <c r="D6" s="6">
        <f>783.6</f>
        <v>783.6</v>
      </c>
      <c r="E6" s="3" t="s">
        <v>11</v>
      </c>
    </row>
    <row r="7" spans="2:7">
      <c r="C7" s="1" t="s">
        <v>5</v>
      </c>
      <c r="D7" s="6">
        <f>169.8</f>
        <v>169.8</v>
      </c>
      <c r="E7" s="3" t="s">
        <v>11</v>
      </c>
    </row>
    <row r="8" spans="2:7">
      <c r="C8" s="1" t="s">
        <v>7</v>
      </c>
      <c r="D8" s="6">
        <f>D6-D7</f>
        <v>613.79999999999995</v>
      </c>
    </row>
    <row r="9" spans="2:7">
      <c r="C9" s="1" t="s">
        <v>6</v>
      </c>
      <c r="D9" s="6">
        <f>D5-D8</f>
        <v>17538.952000000005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7CCB-0B59-41FB-A535-43E374CC36C0}">
  <dimension ref="B2:EG46"/>
  <sheetViews>
    <sheetView tabSelected="1" zoomScaleNormal="100" workbookViewId="0">
      <pane xSplit="2" ySplit="2" topLeftCell="S4" activePane="bottomRight" state="frozen"/>
      <selection pane="topRight" activeCell="C1" sqref="C1"/>
      <selection pane="bottomLeft" activeCell="A3" sqref="A3"/>
      <selection pane="bottomRight" activeCell="V7" sqref="V7"/>
    </sheetView>
  </sheetViews>
  <sheetFormatPr defaultRowHeight="14.4"/>
  <cols>
    <col min="1" max="1" width="8.88671875" style="1"/>
    <col min="2" max="2" width="17.5546875" style="1" bestFit="1" customWidth="1"/>
    <col min="3" max="6" width="8.88671875" style="1" customWidth="1"/>
    <col min="7" max="33" width="8.88671875" style="1"/>
    <col min="34" max="34" width="13.88671875" style="1" customWidth="1"/>
    <col min="35" max="35" width="16.44140625" style="1" bestFit="1" customWidth="1"/>
    <col min="36" max="16384" width="8.88671875" style="1"/>
  </cols>
  <sheetData>
    <row r="2" spans="2:32">
      <c r="C2" s="7" t="s">
        <v>35</v>
      </c>
      <c r="D2" s="7" t="s">
        <v>36</v>
      </c>
      <c r="E2" s="7" t="s">
        <v>37</v>
      </c>
      <c r="F2" s="7" t="s">
        <v>38</v>
      </c>
      <c r="G2" s="7" t="s">
        <v>28</v>
      </c>
      <c r="H2" s="7" t="s">
        <v>29</v>
      </c>
      <c r="I2" s="7" t="s">
        <v>30</v>
      </c>
      <c r="J2" s="7" t="s">
        <v>31</v>
      </c>
      <c r="K2" s="7" t="s">
        <v>32</v>
      </c>
      <c r="L2" s="7" t="s">
        <v>11</v>
      </c>
      <c r="M2" s="7" t="s">
        <v>33</v>
      </c>
      <c r="N2" s="7" t="s">
        <v>34</v>
      </c>
      <c r="P2" s="1">
        <v>2019</v>
      </c>
      <c r="Q2" s="1">
        <v>2020</v>
      </c>
      <c r="R2" s="1">
        <v>2021</v>
      </c>
      <c r="S2" s="1">
        <v>2022</v>
      </c>
      <c r="T2" s="1">
        <v>2023</v>
      </c>
      <c r="U2" s="1">
        <v>2024</v>
      </c>
      <c r="V2" s="1">
        <v>2025</v>
      </c>
      <c r="W2" s="1">
        <v>2026</v>
      </c>
      <c r="X2" s="1">
        <v>2027</v>
      </c>
      <c r="Y2" s="1">
        <v>2028</v>
      </c>
      <c r="Z2" s="1">
        <v>2029</v>
      </c>
      <c r="AA2" s="1">
        <v>2030</v>
      </c>
      <c r="AB2" s="1">
        <v>2031</v>
      </c>
      <c r="AC2" s="1">
        <v>2032</v>
      </c>
      <c r="AD2" s="1">
        <v>2033</v>
      </c>
      <c r="AE2" s="1">
        <v>2034</v>
      </c>
      <c r="AF2" s="1">
        <v>2035</v>
      </c>
    </row>
    <row r="3" spans="2:32">
      <c r="B3" s="1" t="s">
        <v>62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2:32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2:32">
      <c r="B5" s="1" t="s">
        <v>14</v>
      </c>
      <c r="E5" s="6">
        <v>106.5</v>
      </c>
      <c r="G5" s="6">
        <v>106.5</v>
      </c>
      <c r="H5" s="6">
        <v>106.5</v>
      </c>
      <c r="I5" s="6">
        <v>103.9</v>
      </c>
      <c r="J5" s="6">
        <f>U5-I5-H5-G5</f>
        <v>106.5</v>
      </c>
      <c r="K5" s="6">
        <v>102.4</v>
      </c>
      <c r="L5" s="6">
        <v>134.9</v>
      </c>
      <c r="M5" s="6">
        <f>I5*1.12</f>
        <v>116.36800000000002</v>
      </c>
      <c r="N5" s="6">
        <f>J5*1.12</f>
        <v>119.28000000000002</v>
      </c>
      <c r="P5" s="6">
        <v>272.60000000000002</v>
      </c>
      <c r="Q5" s="6">
        <v>248.7</v>
      </c>
      <c r="R5" s="6">
        <v>219.4</v>
      </c>
      <c r="S5" s="6">
        <v>325.2</v>
      </c>
      <c r="T5" s="6">
        <v>402.6</v>
      </c>
      <c r="U5" s="6">
        <v>423.4</v>
      </c>
      <c r="V5" s="6">
        <f>SUM(K5:N5)</f>
        <v>472.94800000000004</v>
      </c>
      <c r="W5" s="6">
        <f>V5*1.08</f>
        <v>510.78384000000005</v>
      </c>
      <c r="X5" s="6">
        <f>W5*1.04</f>
        <v>531.21519360000002</v>
      </c>
      <c r="Y5" s="6">
        <f>X5*1.03</f>
        <v>547.15164940800003</v>
      </c>
      <c r="Z5" s="6">
        <f>Y5*1.02</f>
        <v>558.09468239616001</v>
      </c>
      <c r="AA5" s="6">
        <f t="shared" ref="AA5:AF5" si="0">Z5*1.02</f>
        <v>569.2565760440832</v>
      </c>
      <c r="AB5" s="6">
        <f t="shared" si="0"/>
        <v>580.64170756496492</v>
      </c>
      <c r="AC5" s="6">
        <f t="shared" si="0"/>
        <v>592.25454171626427</v>
      </c>
      <c r="AD5" s="6">
        <f t="shared" si="0"/>
        <v>604.0996325505896</v>
      </c>
      <c r="AE5" s="6">
        <f t="shared" si="0"/>
        <v>616.18162520160138</v>
      </c>
      <c r="AF5" s="6">
        <f t="shared" si="0"/>
        <v>628.50525770563343</v>
      </c>
    </row>
    <row r="6" spans="2:32">
      <c r="B6" s="1" t="s">
        <v>15</v>
      </c>
      <c r="E6" s="6">
        <v>168.1</v>
      </c>
      <c r="G6" s="6">
        <v>170.7</v>
      </c>
      <c r="H6" s="6">
        <v>193.6</v>
      </c>
      <c r="I6" s="6">
        <v>172</v>
      </c>
      <c r="J6" s="6">
        <f>U6-I6-H6-G6</f>
        <v>176.59999999999997</v>
      </c>
      <c r="K6" s="6">
        <v>200.2</v>
      </c>
      <c r="L6" s="6">
        <v>216.6</v>
      </c>
      <c r="M6" s="6">
        <f>I6*1.17</f>
        <v>201.23999999999998</v>
      </c>
      <c r="N6" s="6">
        <f>J6*1.17</f>
        <v>206.62199999999996</v>
      </c>
      <c r="P6" s="6">
        <v>444.9</v>
      </c>
      <c r="Q6" s="6">
        <v>499</v>
      </c>
      <c r="R6" s="6">
        <v>592.1</v>
      </c>
      <c r="S6" s="6">
        <v>573.1</v>
      </c>
      <c r="T6" s="6">
        <v>634.5</v>
      </c>
      <c r="U6" s="6">
        <v>712.9</v>
      </c>
      <c r="V6" s="6">
        <f>SUM(K6:N6)</f>
        <v>824.66199999999992</v>
      </c>
      <c r="W6" s="6">
        <f>V6*1.1</f>
        <v>907.12819999999999</v>
      </c>
      <c r="X6" s="6">
        <f>W6*1.08</f>
        <v>979.69845600000008</v>
      </c>
      <c r="Y6" s="6">
        <f>X6*1.06</f>
        <v>1038.4803633600002</v>
      </c>
      <c r="Z6" s="6">
        <f t="shared" ref="Z6:AF6" si="1">Y6*1.06</f>
        <v>1100.7891851616002</v>
      </c>
      <c r="AA6" s="6">
        <f t="shared" si="1"/>
        <v>1166.8365362712964</v>
      </c>
      <c r="AB6" s="6">
        <f t="shared" si="1"/>
        <v>1236.8467284475742</v>
      </c>
      <c r="AC6" s="6">
        <f t="shared" si="1"/>
        <v>1311.0575321544286</v>
      </c>
      <c r="AD6" s="6">
        <f t="shared" si="1"/>
        <v>1389.7209840836945</v>
      </c>
      <c r="AE6" s="6">
        <f t="shared" si="1"/>
        <v>1473.1042431287162</v>
      </c>
      <c r="AF6" s="6">
        <f t="shared" si="1"/>
        <v>1561.4904977164392</v>
      </c>
    </row>
    <row r="7" spans="2:32" s="2" customFormat="1">
      <c r="B7" s="2" t="s">
        <v>13</v>
      </c>
      <c r="E7" s="9">
        <f>E5+E6</f>
        <v>274.60000000000002</v>
      </c>
      <c r="G7" s="9">
        <f t="shared" ref="G7:L7" si="2">G5+G6</f>
        <v>277.2</v>
      </c>
      <c r="H7" s="9">
        <f t="shared" si="2"/>
        <v>300.10000000000002</v>
      </c>
      <c r="I7" s="9">
        <f t="shared" si="2"/>
        <v>275.89999999999998</v>
      </c>
      <c r="J7" s="9">
        <f t="shared" si="2"/>
        <v>283.09999999999997</v>
      </c>
      <c r="K7" s="9">
        <f t="shared" si="2"/>
        <v>302.60000000000002</v>
      </c>
      <c r="L7" s="9">
        <f t="shared" si="2"/>
        <v>351.5</v>
      </c>
      <c r="M7" s="9">
        <f t="shared" ref="M7:N7" si="3">M5+M6</f>
        <v>317.608</v>
      </c>
      <c r="N7" s="9">
        <f t="shared" si="3"/>
        <v>325.90199999999999</v>
      </c>
      <c r="P7" s="9">
        <f t="shared" ref="P7:V7" si="4">P5+P6</f>
        <v>717.5</v>
      </c>
      <c r="Q7" s="9">
        <f t="shared" si="4"/>
        <v>747.7</v>
      </c>
      <c r="R7" s="9">
        <f t="shared" si="4"/>
        <v>811.5</v>
      </c>
      <c r="S7" s="9">
        <f t="shared" si="4"/>
        <v>898.3</v>
      </c>
      <c r="T7" s="9">
        <f t="shared" si="4"/>
        <v>1037.0999999999999</v>
      </c>
      <c r="U7" s="9">
        <f t="shared" si="4"/>
        <v>1136.3</v>
      </c>
      <c r="V7" s="9">
        <f t="shared" si="4"/>
        <v>1297.6099999999999</v>
      </c>
      <c r="W7" s="9">
        <f t="shared" ref="W7:AF7" si="5">W5+W6</f>
        <v>1417.9120400000002</v>
      </c>
      <c r="X7" s="9">
        <f t="shared" si="5"/>
        <v>1510.9136496000001</v>
      </c>
      <c r="Y7" s="9">
        <f t="shared" si="5"/>
        <v>1585.6320127680001</v>
      </c>
      <c r="Z7" s="9">
        <f t="shared" si="5"/>
        <v>1658.8838675577604</v>
      </c>
      <c r="AA7" s="9">
        <f t="shared" si="5"/>
        <v>1736.0931123153796</v>
      </c>
      <c r="AB7" s="9">
        <f t="shared" si="5"/>
        <v>1817.4884360125391</v>
      </c>
      <c r="AC7" s="9">
        <f t="shared" si="5"/>
        <v>1903.312073870693</v>
      </c>
      <c r="AD7" s="9">
        <f t="shared" si="5"/>
        <v>1993.8206166342841</v>
      </c>
      <c r="AE7" s="9">
        <f t="shared" si="5"/>
        <v>2089.2858683303175</v>
      </c>
      <c r="AF7" s="9">
        <f t="shared" si="5"/>
        <v>2189.9957554220728</v>
      </c>
    </row>
    <row r="8" spans="2:32">
      <c r="B8" s="1" t="s">
        <v>16</v>
      </c>
      <c r="E8" s="6">
        <v>79</v>
      </c>
      <c r="G8" s="6">
        <v>79.2</v>
      </c>
      <c r="H8" s="6">
        <v>77</v>
      </c>
      <c r="I8" s="6">
        <v>76.7</v>
      </c>
      <c r="J8" s="6">
        <f t="shared" ref="J8:J9" si="6">U8-I8-H8-G8</f>
        <v>77.100000000000009</v>
      </c>
      <c r="K8" s="6">
        <v>75.7</v>
      </c>
      <c r="L8" s="6">
        <v>107.2</v>
      </c>
      <c r="M8" s="6">
        <f>M5*0.75</f>
        <v>87.27600000000001</v>
      </c>
      <c r="N8" s="6">
        <f>N5*0.75</f>
        <v>89.460000000000008</v>
      </c>
      <c r="P8" s="6">
        <v>192</v>
      </c>
      <c r="Q8" s="6">
        <v>182.5</v>
      </c>
      <c r="R8" s="6">
        <v>156.19999999999999</v>
      </c>
      <c r="S8" s="6">
        <v>239</v>
      </c>
      <c r="T8" s="6">
        <v>303.2</v>
      </c>
      <c r="U8" s="6">
        <v>310</v>
      </c>
      <c r="V8" s="6">
        <f t="shared" ref="V8:V9" si="7">SUM(K8:N8)</f>
        <v>359.63600000000008</v>
      </c>
      <c r="W8" s="6">
        <f>W5*0.75</f>
        <v>383.08788000000004</v>
      </c>
      <c r="X8" s="6">
        <f>X5*0.74</f>
        <v>393.09924326399999</v>
      </c>
      <c r="Y8" s="6">
        <f>Y5*0.73</f>
        <v>399.42070406784001</v>
      </c>
      <c r="Z8" s="6">
        <f t="shared" ref="Z8:AF8" si="8">Z5*0.73</f>
        <v>407.40911814919679</v>
      </c>
      <c r="AA8" s="6">
        <f t="shared" si="8"/>
        <v>415.55730051218075</v>
      </c>
      <c r="AB8" s="6">
        <f t="shared" si="8"/>
        <v>423.86844652242439</v>
      </c>
      <c r="AC8" s="6">
        <f t="shared" si="8"/>
        <v>432.3458154528729</v>
      </c>
      <c r="AD8" s="6">
        <f t="shared" si="8"/>
        <v>440.99273176193037</v>
      </c>
      <c r="AE8" s="6">
        <f t="shared" si="8"/>
        <v>449.81258639716901</v>
      </c>
      <c r="AF8" s="6">
        <f t="shared" si="8"/>
        <v>458.8088381251124</v>
      </c>
    </row>
    <row r="9" spans="2:32">
      <c r="B9" s="1" t="s">
        <v>17</v>
      </c>
      <c r="E9" s="6">
        <v>122.2</v>
      </c>
      <c r="G9" s="6">
        <v>127</v>
      </c>
      <c r="H9" s="6">
        <v>145.9</v>
      </c>
      <c r="I9" s="6">
        <v>130</v>
      </c>
      <c r="J9" s="6">
        <f t="shared" si="6"/>
        <v>136.20000000000005</v>
      </c>
      <c r="K9" s="6">
        <v>153.30000000000001</v>
      </c>
      <c r="L9" s="6">
        <v>170.5</v>
      </c>
      <c r="M9" s="6">
        <f>M6*0.77</f>
        <v>154.95479999999998</v>
      </c>
      <c r="N9" s="6">
        <f>N6*0.77</f>
        <v>159.09893999999997</v>
      </c>
      <c r="P9" s="6">
        <v>335.5</v>
      </c>
      <c r="Q9" s="6">
        <v>362</v>
      </c>
      <c r="R9" s="6">
        <v>430.2</v>
      </c>
      <c r="S9" s="6">
        <v>433.3</v>
      </c>
      <c r="T9" s="6">
        <v>465.3</v>
      </c>
      <c r="U9" s="6">
        <v>539.1</v>
      </c>
      <c r="V9" s="6">
        <f t="shared" si="7"/>
        <v>637.85374000000002</v>
      </c>
      <c r="W9" s="6">
        <f>W6*0.76</f>
        <v>689.41743199999996</v>
      </c>
      <c r="X9" s="6">
        <f>X6*0.75</f>
        <v>734.77384200000006</v>
      </c>
      <c r="Y9" s="6">
        <f t="shared" ref="Y9:AF9" si="9">Y6*0.75</f>
        <v>778.86027252000008</v>
      </c>
      <c r="Z9" s="6">
        <f t="shared" si="9"/>
        <v>825.59188887120013</v>
      </c>
      <c r="AA9" s="6">
        <f t="shared" si="9"/>
        <v>875.12740220347223</v>
      </c>
      <c r="AB9" s="6">
        <f t="shared" si="9"/>
        <v>927.63504633568061</v>
      </c>
      <c r="AC9" s="6">
        <f t="shared" si="9"/>
        <v>983.29314911582151</v>
      </c>
      <c r="AD9" s="6">
        <f t="shared" si="9"/>
        <v>1042.2907380627707</v>
      </c>
      <c r="AE9" s="6">
        <f t="shared" si="9"/>
        <v>1104.8281823465372</v>
      </c>
      <c r="AF9" s="6">
        <f t="shared" si="9"/>
        <v>1171.1178732873295</v>
      </c>
    </row>
    <row r="10" spans="2:32">
      <c r="B10" s="1" t="s">
        <v>18</v>
      </c>
      <c r="E10" s="6">
        <f>E8+E9</f>
        <v>201.2</v>
      </c>
      <c r="G10" s="6">
        <f t="shared" ref="G10:L10" si="10">G8+G9</f>
        <v>206.2</v>
      </c>
      <c r="H10" s="6">
        <f t="shared" si="10"/>
        <v>222.9</v>
      </c>
      <c r="I10" s="6">
        <f t="shared" si="10"/>
        <v>206.7</v>
      </c>
      <c r="J10" s="6">
        <f t="shared" si="10"/>
        <v>213.30000000000007</v>
      </c>
      <c r="K10" s="6">
        <f t="shared" si="10"/>
        <v>229</v>
      </c>
      <c r="L10" s="6">
        <f t="shared" si="10"/>
        <v>277.7</v>
      </c>
      <c r="M10" s="6">
        <f t="shared" ref="M10:N10" si="11">M8+M9</f>
        <v>242.23079999999999</v>
      </c>
      <c r="N10" s="6">
        <f t="shared" si="11"/>
        <v>248.55893999999998</v>
      </c>
      <c r="P10" s="6">
        <f t="shared" ref="P10:W10" si="12">P8+P9</f>
        <v>527.5</v>
      </c>
      <c r="Q10" s="6">
        <f t="shared" si="12"/>
        <v>544.5</v>
      </c>
      <c r="R10" s="6">
        <f t="shared" si="12"/>
        <v>586.4</v>
      </c>
      <c r="S10" s="6">
        <f t="shared" si="12"/>
        <v>672.3</v>
      </c>
      <c r="T10" s="6">
        <f t="shared" si="12"/>
        <v>768.5</v>
      </c>
      <c r="U10" s="6">
        <f t="shared" si="12"/>
        <v>849.1</v>
      </c>
      <c r="V10" s="6">
        <f t="shared" si="12"/>
        <v>997.4897400000001</v>
      </c>
      <c r="W10" s="6">
        <f t="shared" si="12"/>
        <v>1072.505312</v>
      </c>
      <c r="X10" s="6">
        <f t="shared" ref="X10:AF10" si="13">X8+X9</f>
        <v>1127.8730852640001</v>
      </c>
      <c r="Y10" s="6">
        <f t="shared" si="13"/>
        <v>1178.2809765878401</v>
      </c>
      <c r="Z10" s="6">
        <f t="shared" si="13"/>
        <v>1233.0010070203969</v>
      </c>
      <c r="AA10" s="6">
        <f t="shared" si="13"/>
        <v>1290.684702715653</v>
      </c>
      <c r="AB10" s="6">
        <f t="shared" si="13"/>
        <v>1351.5034928581049</v>
      </c>
      <c r="AC10" s="6">
        <f t="shared" si="13"/>
        <v>1415.6389645686945</v>
      </c>
      <c r="AD10" s="6">
        <f t="shared" si="13"/>
        <v>1483.2834698247011</v>
      </c>
      <c r="AE10" s="6">
        <f t="shared" si="13"/>
        <v>1554.6407687437063</v>
      </c>
      <c r="AF10" s="6">
        <f t="shared" si="13"/>
        <v>1629.9267114124418</v>
      </c>
    </row>
    <row r="11" spans="2:32" s="2" customFormat="1">
      <c r="B11" s="2" t="s">
        <v>12</v>
      </c>
      <c r="E11" s="9">
        <f>E7-E10</f>
        <v>73.400000000000034</v>
      </c>
      <c r="G11" s="9">
        <f t="shared" ref="G11:L11" si="14">G7-G10</f>
        <v>71</v>
      </c>
      <c r="H11" s="9">
        <f t="shared" si="14"/>
        <v>77.200000000000017</v>
      </c>
      <c r="I11" s="9">
        <f t="shared" si="14"/>
        <v>69.199999999999989</v>
      </c>
      <c r="J11" s="9">
        <f t="shared" si="14"/>
        <v>69.799999999999898</v>
      </c>
      <c r="K11" s="9">
        <f t="shared" si="14"/>
        <v>73.600000000000023</v>
      </c>
      <c r="L11" s="9">
        <f t="shared" si="14"/>
        <v>73.800000000000011</v>
      </c>
      <c r="M11" s="9">
        <f t="shared" ref="M11:N11" si="15">M7-M10</f>
        <v>75.377200000000016</v>
      </c>
      <c r="N11" s="9">
        <f t="shared" si="15"/>
        <v>77.343060000000008</v>
      </c>
      <c r="P11" s="9">
        <f t="shared" ref="P11:W11" si="16">P7-P10</f>
        <v>190</v>
      </c>
      <c r="Q11" s="9">
        <f t="shared" si="16"/>
        <v>203.20000000000005</v>
      </c>
      <c r="R11" s="9">
        <f t="shared" si="16"/>
        <v>225.10000000000002</v>
      </c>
      <c r="S11" s="9">
        <f t="shared" si="16"/>
        <v>226</v>
      </c>
      <c r="T11" s="9">
        <f t="shared" si="16"/>
        <v>268.59999999999991</v>
      </c>
      <c r="U11" s="9">
        <f t="shared" si="16"/>
        <v>287.19999999999993</v>
      </c>
      <c r="V11" s="9">
        <f t="shared" si="16"/>
        <v>300.1202599999998</v>
      </c>
      <c r="W11" s="9">
        <f t="shared" si="16"/>
        <v>345.40672800000016</v>
      </c>
      <c r="X11" s="9">
        <f t="shared" ref="X11:AF11" si="17">X7-X10</f>
        <v>383.04056433599999</v>
      </c>
      <c r="Y11" s="9">
        <f t="shared" si="17"/>
        <v>407.35103618016001</v>
      </c>
      <c r="Z11" s="9">
        <f t="shared" si="17"/>
        <v>425.88286053736351</v>
      </c>
      <c r="AA11" s="9">
        <f t="shared" si="17"/>
        <v>445.40840959972661</v>
      </c>
      <c r="AB11" s="9">
        <f t="shared" si="17"/>
        <v>465.98494315443418</v>
      </c>
      <c r="AC11" s="9">
        <f t="shared" si="17"/>
        <v>487.67310930199847</v>
      </c>
      <c r="AD11" s="9">
        <f t="shared" si="17"/>
        <v>510.53714680958296</v>
      </c>
      <c r="AE11" s="9">
        <f t="shared" si="17"/>
        <v>534.6450995866112</v>
      </c>
      <c r="AF11" s="9">
        <f t="shared" si="17"/>
        <v>560.06904400963094</v>
      </c>
    </row>
    <row r="12" spans="2:32">
      <c r="B12" s="1" t="s">
        <v>19</v>
      </c>
      <c r="E12" s="6">
        <v>50.9</v>
      </c>
      <c r="G12" s="6">
        <v>54.4</v>
      </c>
      <c r="H12" s="6">
        <v>54.5</v>
      </c>
      <c r="I12" s="6">
        <v>52.6</v>
      </c>
      <c r="J12" s="6">
        <f t="shared" ref="J12:J15" si="18">U12-I12-H12-G12</f>
        <v>52.500000000000007</v>
      </c>
      <c r="K12" s="6">
        <v>57</v>
      </c>
      <c r="L12" s="6">
        <v>59.9</v>
      </c>
      <c r="M12" s="6">
        <f>I12*1.08</f>
        <v>56.808000000000007</v>
      </c>
      <c r="N12" s="6">
        <f>J12*1.08</f>
        <v>56.70000000000001</v>
      </c>
      <c r="P12" s="6">
        <v>130.80000000000001</v>
      </c>
      <c r="Q12" s="6">
        <v>144.5</v>
      </c>
      <c r="R12" s="6">
        <v>160.19999999999999</v>
      </c>
      <c r="S12" s="6">
        <v>182.8</v>
      </c>
      <c r="T12" s="6">
        <v>197.8</v>
      </c>
      <c r="U12" s="6">
        <v>214</v>
      </c>
      <c r="V12" s="6">
        <f t="shared" ref="V12:V15" si="19">SUM(K12:N12)</f>
        <v>230.40800000000004</v>
      </c>
      <c r="W12" s="6">
        <f>V12*1.04</f>
        <v>239.62432000000004</v>
      </c>
      <c r="X12" s="6">
        <f>W12*1.03</f>
        <v>246.81304960000006</v>
      </c>
      <c r="Y12" s="6">
        <f>X12*1.02</f>
        <v>251.74931059200006</v>
      </c>
      <c r="Z12" s="6">
        <f>Y12*1.02</f>
        <v>256.78429680384005</v>
      </c>
      <c r="AA12" s="6">
        <f>Z12*1.01</f>
        <v>259.35213977187846</v>
      </c>
      <c r="AB12" s="6">
        <f t="shared" ref="AB12:AF12" si="20">AA12*1.01</f>
        <v>261.94566116959726</v>
      </c>
      <c r="AC12" s="6">
        <f t="shared" si="20"/>
        <v>264.56511778129322</v>
      </c>
      <c r="AD12" s="6">
        <f t="shared" si="20"/>
        <v>267.21076895910613</v>
      </c>
      <c r="AE12" s="6">
        <f t="shared" si="20"/>
        <v>269.88287664869722</v>
      </c>
      <c r="AF12" s="6">
        <f t="shared" si="20"/>
        <v>272.58170541518422</v>
      </c>
    </row>
    <row r="13" spans="2:32">
      <c r="B13" s="1" t="s">
        <v>41</v>
      </c>
      <c r="E13" s="6">
        <v>0</v>
      </c>
      <c r="G13" s="6"/>
      <c r="H13" s="6"/>
      <c r="I13" s="6">
        <v>0.2</v>
      </c>
      <c r="J13" s="6">
        <f t="shared" si="18"/>
        <v>0.49999999999999994</v>
      </c>
      <c r="K13" s="6"/>
      <c r="L13" s="6"/>
      <c r="M13" s="6">
        <v>0</v>
      </c>
      <c r="N13" s="6">
        <v>0</v>
      </c>
      <c r="P13" s="6">
        <v>2.2999999999999998</v>
      </c>
      <c r="Q13" s="6">
        <v>1.7</v>
      </c>
      <c r="R13" s="6">
        <v>1.8</v>
      </c>
      <c r="S13" s="6">
        <v>0.7</v>
      </c>
      <c r="T13" s="6">
        <v>0.4</v>
      </c>
      <c r="U13" s="6">
        <v>0.7</v>
      </c>
      <c r="V13" s="6">
        <f t="shared" si="19"/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</row>
    <row r="14" spans="2:32">
      <c r="B14" s="1" t="s">
        <v>20</v>
      </c>
      <c r="E14" s="6">
        <v>10.3</v>
      </c>
      <c r="G14" s="6">
        <v>9.6</v>
      </c>
      <c r="H14" s="6">
        <v>10.199999999999999</v>
      </c>
      <c r="I14" s="6">
        <v>9.9</v>
      </c>
      <c r="J14" s="6">
        <f t="shared" si="18"/>
        <v>10.6</v>
      </c>
      <c r="K14" s="6">
        <v>10</v>
      </c>
      <c r="L14" s="6">
        <v>10.199999999999999</v>
      </c>
      <c r="M14" s="6">
        <v>10.5</v>
      </c>
      <c r="N14" s="6">
        <v>11</v>
      </c>
      <c r="P14" s="6">
        <v>18</v>
      </c>
      <c r="Q14" s="6">
        <v>27</v>
      </c>
      <c r="R14" s="6">
        <v>35.200000000000003</v>
      </c>
      <c r="S14" s="6">
        <v>38.6</v>
      </c>
      <c r="T14" s="6">
        <v>38.4</v>
      </c>
      <c r="U14" s="6">
        <v>40.299999999999997</v>
      </c>
      <c r="V14" s="6">
        <f t="shared" si="19"/>
        <v>41.7</v>
      </c>
      <c r="W14" s="6">
        <f>V14*1.02</f>
        <v>42.534000000000006</v>
      </c>
      <c r="X14" s="6">
        <f t="shared" ref="X14:AF14" si="21">W14*1.02</f>
        <v>43.38468000000001</v>
      </c>
      <c r="Y14" s="6">
        <f t="shared" si="21"/>
        <v>44.252373600000013</v>
      </c>
      <c r="Z14" s="6">
        <f t="shared" si="21"/>
        <v>45.137421072000016</v>
      </c>
      <c r="AA14" s="6">
        <f t="shared" si="21"/>
        <v>46.040169493440018</v>
      </c>
      <c r="AB14" s="6">
        <f t="shared" si="21"/>
        <v>46.96097288330882</v>
      </c>
      <c r="AC14" s="6">
        <f t="shared" si="21"/>
        <v>47.900192340974996</v>
      </c>
      <c r="AD14" s="6">
        <f t="shared" si="21"/>
        <v>48.858196187794498</v>
      </c>
      <c r="AE14" s="6">
        <f t="shared" si="21"/>
        <v>49.835360111550386</v>
      </c>
      <c r="AF14" s="6">
        <f t="shared" si="21"/>
        <v>50.832067313781394</v>
      </c>
    </row>
    <row r="15" spans="2:32">
      <c r="B15" s="1" t="s">
        <v>40</v>
      </c>
      <c r="E15" s="6">
        <v>0</v>
      </c>
      <c r="G15" s="6"/>
      <c r="H15" s="6"/>
      <c r="I15" s="6">
        <v>0</v>
      </c>
      <c r="J15" s="6">
        <f t="shared" si="18"/>
        <v>3.2</v>
      </c>
      <c r="K15" s="6"/>
      <c r="L15" s="6"/>
      <c r="M15" s="6">
        <v>0</v>
      </c>
      <c r="N15" s="6">
        <v>0</v>
      </c>
      <c r="P15" s="6">
        <v>0.9</v>
      </c>
      <c r="Q15" s="6">
        <v>0.7</v>
      </c>
      <c r="R15" s="6">
        <v>0</v>
      </c>
      <c r="S15" s="6">
        <v>6.8</v>
      </c>
      <c r="T15" s="6">
        <v>0.9</v>
      </c>
      <c r="U15" s="6">
        <v>3.2</v>
      </c>
      <c r="V15" s="6">
        <f t="shared" si="19"/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</row>
    <row r="16" spans="2:32">
      <c r="B16" s="1" t="s">
        <v>39</v>
      </c>
      <c r="E16" s="6">
        <f>SUM(E12:E15)</f>
        <v>61.2</v>
      </c>
      <c r="G16" s="6">
        <f>SUM(G12:G14)</f>
        <v>64</v>
      </c>
      <c r="H16" s="6">
        <f>SUM(H12:H14)</f>
        <v>64.7</v>
      </c>
      <c r="I16" s="6">
        <f>SUM(I12:I15)</f>
        <v>62.7</v>
      </c>
      <c r="J16" s="6">
        <f>SUM(J12:J15)</f>
        <v>66.800000000000011</v>
      </c>
      <c r="K16" s="6">
        <f t="shared" ref="K16:L16" si="22">SUM(K12:K14)</f>
        <v>67</v>
      </c>
      <c r="L16" s="6">
        <f t="shared" si="22"/>
        <v>70.099999999999994</v>
      </c>
      <c r="M16" s="6">
        <f t="shared" ref="M16" si="23">SUM(M12:M14)</f>
        <v>67.308000000000007</v>
      </c>
      <c r="N16" s="6">
        <f t="shared" ref="N16" si="24">SUM(N12:N14)</f>
        <v>67.700000000000017</v>
      </c>
      <c r="P16" s="6">
        <f t="shared" ref="P16:W16" si="25">SUM(P12:P15)</f>
        <v>152.00000000000003</v>
      </c>
      <c r="Q16" s="6">
        <f t="shared" si="25"/>
        <v>173.89999999999998</v>
      </c>
      <c r="R16" s="6">
        <f t="shared" si="25"/>
        <v>197.2</v>
      </c>
      <c r="S16" s="6">
        <f t="shared" si="25"/>
        <v>228.9</v>
      </c>
      <c r="T16" s="6">
        <f t="shared" si="25"/>
        <v>237.50000000000003</v>
      </c>
      <c r="U16" s="6">
        <f t="shared" si="25"/>
        <v>258.2</v>
      </c>
      <c r="V16" s="6">
        <f t="shared" si="25"/>
        <v>272.10800000000006</v>
      </c>
      <c r="W16" s="6">
        <f t="shared" si="25"/>
        <v>282.15832000000006</v>
      </c>
      <c r="X16" s="6">
        <f t="shared" ref="X16:AF16" si="26">SUM(X12:X15)</f>
        <v>290.19772960000006</v>
      </c>
      <c r="Y16" s="6">
        <f t="shared" si="26"/>
        <v>296.00168419200008</v>
      </c>
      <c r="Z16" s="6">
        <f t="shared" si="26"/>
        <v>301.92171787584005</v>
      </c>
      <c r="AA16" s="6">
        <f t="shared" si="26"/>
        <v>305.39230926531849</v>
      </c>
      <c r="AB16" s="6">
        <f t="shared" si="26"/>
        <v>308.9066340529061</v>
      </c>
      <c r="AC16" s="6">
        <f t="shared" si="26"/>
        <v>312.46531012226819</v>
      </c>
      <c r="AD16" s="6">
        <f t="shared" si="26"/>
        <v>316.06896514690061</v>
      </c>
      <c r="AE16" s="6">
        <f t="shared" si="26"/>
        <v>319.71823676024758</v>
      </c>
      <c r="AF16" s="6">
        <f t="shared" si="26"/>
        <v>323.41377272896563</v>
      </c>
    </row>
    <row r="17" spans="2:137" s="2" customFormat="1">
      <c r="B17" s="2" t="s">
        <v>21</v>
      </c>
      <c r="E17" s="9">
        <f>E11-E16</f>
        <v>12.200000000000031</v>
      </c>
      <c r="G17" s="9">
        <f t="shared" ref="G17:H17" si="27">G11-G16</f>
        <v>7</v>
      </c>
      <c r="H17" s="9">
        <f t="shared" si="27"/>
        <v>12.500000000000014</v>
      </c>
      <c r="I17" s="9">
        <f>I11-I16</f>
        <v>6.4999999999999858</v>
      </c>
      <c r="J17" s="9">
        <f>J11-J16</f>
        <v>2.9999999999998863</v>
      </c>
      <c r="K17" s="9">
        <f t="shared" ref="K17" si="28">K11-K16</f>
        <v>6.6000000000000227</v>
      </c>
      <c r="L17" s="9">
        <f>L11-L16</f>
        <v>3.7000000000000171</v>
      </c>
      <c r="M17" s="9">
        <f t="shared" ref="M17:N17" si="29">M11-M16</f>
        <v>8.0692000000000093</v>
      </c>
      <c r="N17" s="9">
        <f t="shared" si="29"/>
        <v>9.6430599999999913</v>
      </c>
      <c r="P17" s="9">
        <f t="shared" ref="P17:W17" si="30">P11-P16</f>
        <v>37.999999999999972</v>
      </c>
      <c r="Q17" s="9">
        <f t="shared" si="30"/>
        <v>29.300000000000068</v>
      </c>
      <c r="R17" s="9">
        <f t="shared" si="30"/>
        <v>27.900000000000034</v>
      </c>
      <c r="S17" s="9">
        <f t="shared" si="30"/>
        <v>-2.9000000000000057</v>
      </c>
      <c r="T17" s="9">
        <f t="shared" si="30"/>
        <v>31.099999999999881</v>
      </c>
      <c r="U17" s="9">
        <f t="shared" si="30"/>
        <v>28.999999999999943</v>
      </c>
      <c r="V17" s="9">
        <f t="shared" si="30"/>
        <v>28.012259999999742</v>
      </c>
      <c r="W17" s="9">
        <f t="shared" si="30"/>
        <v>63.248408000000097</v>
      </c>
      <c r="X17" s="9">
        <f t="shared" ref="X17:AF17" si="31">X11-X16</f>
        <v>92.842834735999929</v>
      </c>
      <c r="Y17" s="9">
        <f t="shared" si="31"/>
        <v>111.34935198815992</v>
      </c>
      <c r="Z17" s="9">
        <f t="shared" si="31"/>
        <v>123.96114266152347</v>
      </c>
      <c r="AA17" s="9">
        <f t="shared" si="31"/>
        <v>140.01610033440812</v>
      </c>
      <c r="AB17" s="9">
        <f t="shared" si="31"/>
        <v>157.07830910152808</v>
      </c>
      <c r="AC17" s="9">
        <f t="shared" si="31"/>
        <v>175.20779917973027</v>
      </c>
      <c r="AD17" s="9">
        <f t="shared" si="31"/>
        <v>194.46818166268235</v>
      </c>
      <c r="AE17" s="9">
        <f t="shared" si="31"/>
        <v>214.92686282636362</v>
      </c>
      <c r="AF17" s="9">
        <f t="shared" si="31"/>
        <v>236.65527128066532</v>
      </c>
    </row>
    <row r="18" spans="2:137">
      <c r="B18" s="1" t="s">
        <v>22</v>
      </c>
      <c r="E18" s="6">
        <v>5.0999999999999996</v>
      </c>
      <c r="G18" s="6">
        <v>2.8</v>
      </c>
      <c r="H18" s="6">
        <v>-0.1</v>
      </c>
      <c r="I18" s="6">
        <v>0</v>
      </c>
      <c r="J18" s="6">
        <f t="shared" ref="J18:J19" si="32">U18-I18-H18-G18</f>
        <v>0.30000000000000027</v>
      </c>
      <c r="K18" s="6">
        <v>0.9</v>
      </c>
      <c r="L18" s="6">
        <v>1.2</v>
      </c>
      <c r="M18" s="6">
        <v>1</v>
      </c>
      <c r="N18" s="6">
        <v>1</v>
      </c>
      <c r="P18" s="6">
        <v>21.6</v>
      </c>
      <c r="Q18" s="6">
        <v>22.8</v>
      </c>
      <c r="R18" s="6">
        <v>23.4</v>
      </c>
      <c r="S18" s="6">
        <v>17.7</v>
      </c>
      <c r="T18" s="6">
        <v>20.5</v>
      </c>
      <c r="U18" s="6">
        <v>3</v>
      </c>
      <c r="V18" s="6">
        <f t="shared" ref="V18:V19" si="33">SUM(K18:N18)</f>
        <v>4.0999999999999996</v>
      </c>
      <c r="W18" s="6">
        <f>V18*1.03</f>
        <v>4.2229999999999999</v>
      </c>
      <c r="X18" s="6">
        <f t="shared" ref="X18:AF18" si="34">W18*1.03</f>
        <v>4.3496899999999998</v>
      </c>
      <c r="Y18" s="6">
        <f t="shared" si="34"/>
        <v>4.4801807</v>
      </c>
      <c r="Z18" s="6">
        <f t="shared" si="34"/>
        <v>4.6145861210000003</v>
      </c>
      <c r="AA18" s="6">
        <f t="shared" si="34"/>
        <v>4.7530237046300003</v>
      </c>
      <c r="AB18" s="6">
        <f t="shared" si="34"/>
        <v>4.8956144157689003</v>
      </c>
      <c r="AC18" s="6">
        <f t="shared" si="34"/>
        <v>5.0424828482419679</v>
      </c>
      <c r="AD18" s="6">
        <f t="shared" si="34"/>
        <v>5.1937573336892271</v>
      </c>
      <c r="AE18" s="6">
        <f t="shared" si="34"/>
        <v>5.349570053699904</v>
      </c>
      <c r="AF18" s="6">
        <f t="shared" si="34"/>
        <v>5.5100571553109017</v>
      </c>
    </row>
    <row r="19" spans="2:137">
      <c r="B19" s="1" t="s">
        <v>23</v>
      </c>
      <c r="E19" s="6">
        <v>0.3</v>
      </c>
      <c r="G19" s="6">
        <v>0.2</v>
      </c>
      <c r="H19" s="6">
        <v>-0.1</v>
      </c>
      <c r="I19" s="6">
        <v>0.7</v>
      </c>
      <c r="J19" s="6">
        <f t="shared" si="32"/>
        <v>-1.2999999999999998</v>
      </c>
      <c r="K19" s="6">
        <v>0.3</v>
      </c>
      <c r="L19" s="6">
        <v>-2.1</v>
      </c>
      <c r="M19" s="6">
        <v>0</v>
      </c>
      <c r="N19" s="6">
        <v>0</v>
      </c>
      <c r="P19" s="6">
        <v>0.7</v>
      </c>
      <c r="Q19" s="6">
        <v>-0.3</v>
      </c>
      <c r="R19" s="6">
        <v>0.1</v>
      </c>
      <c r="S19" s="6">
        <f>13-0.6</f>
        <v>12.4</v>
      </c>
      <c r="T19" s="6">
        <v>-0.5</v>
      </c>
      <c r="U19" s="6">
        <v>-0.5</v>
      </c>
      <c r="V19" s="6">
        <f t="shared" si="33"/>
        <v>-1.8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</row>
    <row r="20" spans="2:137" s="2" customFormat="1">
      <c r="B20" s="2" t="s">
        <v>24</v>
      </c>
      <c r="E20" s="9">
        <f>E17-E18-E19</f>
        <v>6.8000000000000318</v>
      </c>
      <c r="G20" s="9">
        <f t="shared" ref="G20:L20" si="35">G17-G18-G19</f>
        <v>4</v>
      </c>
      <c r="H20" s="9">
        <f t="shared" si="35"/>
        <v>12.700000000000014</v>
      </c>
      <c r="I20" s="9">
        <f t="shared" si="35"/>
        <v>5.7999999999999856</v>
      </c>
      <c r="J20" s="9">
        <f t="shared" si="35"/>
        <v>3.9999999999998859</v>
      </c>
      <c r="K20" s="9">
        <f t="shared" si="35"/>
        <v>5.4000000000000226</v>
      </c>
      <c r="L20" s="9">
        <f t="shared" si="35"/>
        <v>4.6000000000000174</v>
      </c>
      <c r="M20" s="9">
        <f t="shared" ref="M20:N20" si="36">M17-M18-M19</f>
        <v>7.0692000000000093</v>
      </c>
      <c r="N20" s="9">
        <f t="shared" si="36"/>
        <v>8.6430599999999913</v>
      </c>
      <c r="P20" s="9">
        <f t="shared" ref="P20:W20" si="37">P17-P18-P19</f>
        <v>15.699999999999971</v>
      </c>
      <c r="Q20" s="9">
        <f t="shared" si="37"/>
        <v>6.8000000000000673</v>
      </c>
      <c r="R20" s="9">
        <f t="shared" si="37"/>
        <v>4.4000000000000359</v>
      </c>
      <c r="S20" s="9">
        <f t="shared" si="37"/>
        <v>-33.000000000000007</v>
      </c>
      <c r="T20" s="9">
        <f t="shared" si="37"/>
        <v>11.099999999999881</v>
      </c>
      <c r="U20" s="9">
        <f t="shared" si="37"/>
        <v>26.499999999999943</v>
      </c>
      <c r="V20" s="9">
        <f t="shared" si="37"/>
        <v>25.712259999999741</v>
      </c>
      <c r="W20" s="9">
        <f t="shared" si="37"/>
        <v>59.025408000000098</v>
      </c>
      <c r="X20" s="9">
        <f t="shared" ref="X20:AF20" si="38">X17-X18-X19</f>
        <v>88.493144735999934</v>
      </c>
      <c r="Y20" s="9">
        <f t="shared" si="38"/>
        <v>106.86917128815992</v>
      </c>
      <c r="Z20" s="9">
        <f t="shared" si="38"/>
        <v>119.34655654052347</v>
      </c>
      <c r="AA20" s="9">
        <f t="shared" si="38"/>
        <v>135.26307662977811</v>
      </c>
      <c r="AB20" s="9">
        <f t="shared" si="38"/>
        <v>152.18269468575917</v>
      </c>
      <c r="AC20" s="9">
        <f t="shared" si="38"/>
        <v>170.1653163314883</v>
      </c>
      <c r="AD20" s="9">
        <f t="shared" si="38"/>
        <v>189.27442432899312</v>
      </c>
      <c r="AE20" s="9">
        <f t="shared" si="38"/>
        <v>209.57729277266372</v>
      </c>
      <c r="AF20" s="9">
        <f t="shared" si="38"/>
        <v>231.14521412535441</v>
      </c>
    </row>
    <row r="21" spans="2:137">
      <c r="B21" s="1" t="s">
        <v>25</v>
      </c>
      <c r="E21" s="6">
        <v>3.8</v>
      </c>
      <c r="G21" s="6">
        <v>2.7</v>
      </c>
      <c r="H21" s="6">
        <v>4.8</v>
      </c>
      <c r="I21" s="6">
        <v>2.6</v>
      </c>
      <c r="J21" s="6">
        <f>U21-I21-H21-G21</f>
        <v>9.9999999999999645E-2</v>
      </c>
      <c r="K21" s="6">
        <v>0.9</v>
      </c>
      <c r="L21" s="6">
        <v>1.7</v>
      </c>
      <c r="M21" s="6">
        <f>M20*0.2</f>
        <v>1.413840000000002</v>
      </c>
      <c r="N21" s="6">
        <f>N20*0.2</f>
        <v>1.7286119999999983</v>
      </c>
      <c r="P21" s="6">
        <v>4.8</v>
      </c>
      <c r="Q21" s="6">
        <v>-73.5</v>
      </c>
      <c r="R21" s="6">
        <v>3.9</v>
      </c>
      <c r="S21" s="6">
        <v>0.2</v>
      </c>
      <c r="T21" s="6">
        <v>8.6999999999999993</v>
      </c>
      <c r="U21" s="6">
        <v>10.199999999999999</v>
      </c>
      <c r="V21" s="6">
        <f>SUM(K21:N21)</f>
        <v>5.7424520000000001</v>
      </c>
      <c r="W21" s="6">
        <f>W20*0.2</f>
        <v>11.805081600000021</v>
      </c>
      <c r="X21" s="6">
        <f t="shared" ref="X21:AF21" si="39">X20*0.2</f>
        <v>17.698628947199989</v>
      </c>
      <c r="Y21" s="6">
        <f t="shared" si="39"/>
        <v>21.373834257631984</v>
      </c>
      <c r="Z21" s="6">
        <f t="shared" si="39"/>
        <v>23.869311308104695</v>
      </c>
      <c r="AA21" s="6">
        <f t="shared" si="39"/>
        <v>27.052615325955625</v>
      </c>
      <c r="AB21" s="6">
        <f t="shared" si="39"/>
        <v>30.436538937151838</v>
      </c>
      <c r="AC21" s="6">
        <f t="shared" si="39"/>
        <v>34.03306326629766</v>
      </c>
      <c r="AD21" s="6">
        <f t="shared" si="39"/>
        <v>37.854884865798624</v>
      </c>
      <c r="AE21" s="6">
        <f t="shared" si="39"/>
        <v>41.915458554532748</v>
      </c>
      <c r="AF21" s="6">
        <f t="shared" si="39"/>
        <v>46.229042825070884</v>
      </c>
    </row>
    <row r="22" spans="2:137" s="2" customFormat="1">
      <c r="B22" s="2" t="s">
        <v>26</v>
      </c>
      <c r="E22" s="9">
        <f>E20-E21</f>
        <v>3.000000000000032</v>
      </c>
      <c r="G22" s="9">
        <f t="shared" ref="G22:L22" si="40">G20-G21</f>
        <v>1.2999999999999998</v>
      </c>
      <c r="H22" s="9">
        <f t="shared" si="40"/>
        <v>7.9000000000000137</v>
      </c>
      <c r="I22" s="9">
        <f t="shared" si="40"/>
        <v>3.1999999999999855</v>
      </c>
      <c r="J22" s="9">
        <f t="shared" si="40"/>
        <v>3.8999999999998862</v>
      </c>
      <c r="K22" s="9">
        <f t="shared" si="40"/>
        <v>4.5000000000000222</v>
      </c>
      <c r="L22" s="9">
        <f t="shared" si="40"/>
        <v>2.9000000000000172</v>
      </c>
      <c r="M22" s="9">
        <f t="shared" ref="M22:N22" si="41">M20-M21</f>
        <v>5.655360000000007</v>
      </c>
      <c r="N22" s="9">
        <f t="shared" si="41"/>
        <v>6.914447999999993</v>
      </c>
      <c r="P22" s="9">
        <f t="shared" ref="P22:W22" si="42">P20-P21</f>
        <v>10.89999999999997</v>
      </c>
      <c r="Q22" s="9">
        <f t="shared" si="42"/>
        <v>80.300000000000068</v>
      </c>
      <c r="R22" s="9">
        <f t="shared" si="42"/>
        <v>0.50000000000003597</v>
      </c>
      <c r="S22" s="9">
        <f t="shared" si="42"/>
        <v>-33.20000000000001</v>
      </c>
      <c r="T22" s="9">
        <f t="shared" si="42"/>
        <v>2.3999999999998813</v>
      </c>
      <c r="U22" s="9">
        <f t="shared" si="42"/>
        <v>16.299999999999944</v>
      </c>
      <c r="V22" s="9">
        <f t="shared" si="42"/>
        <v>19.969807999999741</v>
      </c>
      <c r="W22" s="9">
        <f t="shared" si="42"/>
        <v>47.220326400000076</v>
      </c>
      <c r="X22" s="9">
        <f t="shared" ref="X22:AF22" si="43">X20-X21</f>
        <v>70.794515788799941</v>
      </c>
      <c r="Y22" s="9">
        <f t="shared" si="43"/>
        <v>85.495337030527935</v>
      </c>
      <c r="Z22" s="9">
        <f t="shared" si="43"/>
        <v>95.477245232418767</v>
      </c>
      <c r="AA22" s="9">
        <f t="shared" si="43"/>
        <v>108.21046130382248</v>
      </c>
      <c r="AB22" s="9">
        <f t="shared" si="43"/>
        <v>121.74615574860734</v>
      </c>
      <c r="AC22" s="9">
        <f t="shared" si="43"/>
        <v>136.13225306519064</v>
      </c>
      <c r="AD22" s="9">
        <f t="shared" si="43"/>
        <v>151.4195394631945</v>
      </c>
      <c r="AE22" s="9">
        <f t="shared" si="43"/>
        <v>167.66183421813099</v>
      </c>
      <c r="AF22" s="9">
        <f t="shared" si="43"/>
        <v>184.91617130028354</v>
      </c>
      <c r="AG22" s="2">
        <f>AF22*(1+$AI$28)</f>
        <v>183.06700958728069</v>
      </c>
      <c r="AH22" s="2">
        <f t="shared" ref="AH22:CS22" si="44">AG22*(1+$AI$28)</f>
        <v>181.23633949140788</v>
      </c>
      <c r="AI22" s="2">
        <f t="shared" si="44"/>
        <v>179.42397609649379</v>
      </c>
      <c r="AJ22" s="2">
        <f t="shared" si="44"/>
        <v>177.62973633552886</v>
      </c>
      <c r="AK22" s="2">
        <f t="shared" si="44"/>
        <v>175.85343897217356</v>
      </c>
      <c r="AL22" s="2">
        <f t="shared" si="44"/>
        <v>174.09490458245182</v>
      </c>
      <c r="AM22" s="2">
        <f t="shared" si="44"/>
        <v>172.3539555366273</v>
      </c>
      <c r="AN22" s="2">
        <f t="shared" si="44"/>
        <v>170.63041598126102</v>
      </c>
      <c r="AO22" s="2">
        <f t="shared" si="44"/>
        <v>168.92411182144841</v>
      </c>
      <c r="AP22" s="2">
        <f t="shared" si="44"/>
        <v>167.23487070323392</v>
      </c>
      <c r="AQ22" s="2">
        <f t="shared" si="44"/>
        <v>165.56252199620158</v>
      </c>
      <c r="AR22" s="2">
        <f t="shared" si="44"/>
        <v>163.90689677623956</v>
      </c>
      <c r="AS22" s="2">
        <f t="shared" si="44"/>
        <v>162.26782780847716</v>
      </c>
      <c r="AT22" s="2">
        <f t="shared" si="44"/>
        <v>160.64514953039239</v>
      </c>
      <c r="AU22" s="2">
        <f t="shared" si="44"/>
        <v>159.03869803508846</v>
      </c>
      <c r="AV22" s="2">
        <f t="shared" si="44"/>
        <v>157.44831105473756</v>
      </c>
      <c r="AW22" s="2">
        <f t="shared" si="44"/>
        <v>155.87382794419017</v>
      </c>
      <c r="AX22" s="2">
        <f t="shared" si="44"/>
        <v>154.31508966474826</v>
      </c>
      <c r="AY22" s="2">
        <f t="shared" si="44"/>
        <v>152.77193876810077</v>
      </c>
      <c r="AZ22" s="2">
        <f t="shared" si="44"/>
        <v>151.24421938041976</v>
      </c>
      <c r="BA22" s="2">
        <f t="shared" si="44"/>
        <v>149.73177718661557</v>
      </c>
      <c r="BB22" s="2">
        <f t="shared" si="44"/>
        <v>148.23445941474941</v>
      </c>
      <c r="BC22" s="2">
        <f t="shared" si="44"/>
        <v>146.75211482060192</v>
      </c>
      <c r="BD22" s="2">
        <f t="shared" si="44"/>
        <v>145.28459367239589</v>
      </c>
      <c r="BE22" s="2">
        <f t="shared" si="44"/>
        <v>143.83174773567194</v>
      </c>
      <c r="BF22" s="2">
        <f t="shared" si="44"/>
        <v>142.39343025831522</v>
      </c>
      <c r="BG22" s="2">
        <f t="shared" si="44"/>
        <v>140.96949595573207</v>
      </c>
      <c r="BH22" s="2">
        <f t="shared" si="44"/>
        <v>139.55980099617474</v>
      </c>
      <c r="BI22" s="2">
        <f t="shared" si="44"/>
        <v>138.16420298621298</v>
      </c>
      <c r="BJ22" s="2">
        <f t="shared" si="44"/>
        <v>136.78256095635086</v>
      </c>
      <c r="BK22" s="2">
        <f t="shared" si="44"/>
        <v>135.41473534678735</v>
      </c>
      <c r="BL22" s="2">
        <f t="shared" si="44"/>
        <v>134.06058799331947</v>
      </c>
      <c r="BM22" s="2">
        <f t="shared" si="44"/>
        <v>132.71998211338627</v>
      </c>
      <c r="BN22" s="2">
        <f t="shared" si="44"/>
        <v>131.39278229225241</v>
      </c>
      <c r="BO22" s="2">
        <f t="shared" si="44"/>
        <v>130.07885446932988</v>
      </c>
      <c r="BP22" s="2">
        <f t="shared" si="44"/>
        <v>128.77806592463659</v>
      </c>
      <c r="BQ22" s="2">
        <f t="shared" si="44"/>
        <v>127.49028526539023</v>
      </c>
      <c r="BR22" s="2">
        <f t="shared" si="44"/>
        <v>126.21538241273632</v>
      </c>
      <c r="BS22" s="2">
        <f t="shared" si="44"/>
        <v>124.95322858860895</v>
      </c>
      <c r="BT22" s="2">
        <f t="shared" si="44"/>
        <v>123.70369630272286</v>
      </c>
      <c r="BU22" s="2">
        <f t="shared" si="44"/>
        <v>122.46665933969562</v>
      </c>
      <c r="BV22" s="2">
        <f t="shared" si="44"/>
        <v>121.24199274629866</v>
      </c>
      <c r="BW22" s="2">
        <f t="shared" si="44"/>
        <v>120.02957281883567</v>
      </c>
      <c r="BX22" s="2">
        <f t="shared" si="44"/>
        <v>118.82927709064732</v>
      </c>
      <c r="BY22" s="2">
        <f t="shared" si="44"/>
        <v>117.64098431974085</v>
      </c>
      <c r="BZ22" s="2">
        <f t="shared" si="44"/>
        <v>116.46457447654345</v>
      </c>
      <c r="CA22" s="2">
        <f t="shared" si="44"/>
        <v>115.29992873177801</v>
      </c>
      <c r="CB22" s="2">
        <f t="shared" si="44"/>
        <v>114.14692944446023</v>
      </c>
      <c r="CC22" s="2">
        <f t="shared" si="44"/>
        <v>113.00546015001562</v>
      </c>
      <c r="CD22" s="2">
        <f t="shared" si="44"/>
        <v>111.87540554851546</v>
      </c>
      <c r="CE22" s="2">
        <f t="shared" si="44"/>
        <v>110.7566514930303</v>
      </c>
      <c r="CF22" s="2">
        <f t="shared" si="44"/>
        <v>109.64908497810001</v>
      </c>
      <c r="CG22" s="2">
        <f t="shared" si="44"/>
        <v>108.552594128319</v>
      </c>
      <c r="CH22" s="2">
        <f t="shared" si="44"/>
        <v>107.46706818703581</v>
      </c>
      <c r="CI22" s="2">
        <f t="shared" si="44"/>
        <v>106.39239750516545</v>
      </c>
      <c r="CJ22" s="2">
        <f t="shared" si="44"/>
        <v>105.3284735301138</v>
      </c>
      <c r="CK22" s="2">
        <f t="shared" si="44"/>
        <v>104.27518879481266</v>
      </c>
      <c r="CL22" s="2">
        <f t="shared" si="44"/>
        <v>103.23243690686454</v>
      </c>
      <c r="CM22" s="2">
        <f t="shared" si="44"/>
        <v>102.20011253779589</v>
      </c>
      <c r="CN22" s="2">
        <f t="shared" si="44"/>
        <v>101.17811141241793</v>
      </c>
      <c r="CO22" s="2">
        <f t="shared" si="44"/>
        <v>100.16633029829376</v>
      </c>
      <c r="CP22" s="2">
        <f t="shared" si="44"/>
        <v>99.164666995310824</v>
      </c>
      <c r="CQ22" s="2">
        <f t="shared" si="44"/>
        <v>98.173020325357712</v>
      </c>
      <c r="CR22" s="2">
        <f t="shared" si="44"/>
        <v>97.191290122104135</v>
      </c>
      <c r="CS22" s="2">
        <f t="shared" si="44"/>
        <v>96.219377220883089</v>
      </c>
      <c r="CT22" s="2">
        <f t="shared" ref="CT22:EG22" si="45">CS22*(1+$AI$28)</f>
        <v>95.257183448674255</v>
      </c>
      <c r="CU22" s="2">
        <f t="shared" si="45"/>
        <v>94.304611614187507</v>
      </c>
      <c r="CV22" s="2">
        <f t="shared" si="45"/>
        <v>93.361565498045636</v>
      </c>
      <c r="CW22" s="2">
        <f t="shared" si="45"/>
        <v>92.427949843065178</v>
      </c>
      <c r="CX22" s="2">
        <f t="shared" si="45"/>
        <v>91.503670344634529</v>
      </c>
      <c r="CY22" s="2">
        <f t="shared" si="45"/>
        <v>90.588633641188181</v>
      </c>
      <c r="CZ22" s="2">
        <f t="shared" si="45"/>
        <v>89.682747304776299</v>
      </c>
      <c r="DA22" s="2">
        <f t="shared" si="45"/>
        <v>88.785919831728535</v>
      </c>
      <c r="DB22" s="2">
        <f t="shared" si="45"/>
        <v>87.898060633411248</v>
      </c>
      <c r="DC22" s="2">
        <f t="shared" si="45"/>
        <v>87.019080027077138</v>
      </c>
      <c r="DD22" s="2">
        <f t="shared" si="45"/>
        <v>86.148889226806361</v>
      </c>
      <c r="DE22" s="2">
        <f t="shared" si="45"/>
        <v>85.28740033453829</v>
      </c>
      <c r="DF22" s="2">
        <f t="shared" si="45"/>
        <v>84.434526331192913</v>
      </c>
      <c r="DG22" s="2">
        <f t="shared" si="45"/>
        <v>83.590181067880977</v>
      </c>
      <c r="DH22" s="2">
        <f t="shared" si="45"/>
        <v>82.754279257202171</v>
      </c>
      <c r="DI22" s="2">
        <f t="shared" si="45"/>
        <v>81.926736464630153</v>
      </c>
      <c r="DJ22" s="2">
        <f t="shared" si="45"/>
        <v>81.107469099983845</v>
      </c>
      <c r="DK22" s="2">
        <f t="shared" si="45"/>
        <v>80.296394408984</v>
      </c>
      <c r="DL22" s="2">
        <f t="shared" si="45"/>
        <v>79.493430464894161</v>
      </c>
      <c r="DM22" s="2">
        <f t="shared" si="45"/>
        <v>78.698496160245213</v>
      </c>
      <c r="DN22" s="2">
        <f t="shared" si="45"/>
        <v>77.911511198642756</v>
      </c>
      <c r="DO22" s="2">
        <f t="shared" si="45"/>
        <v>77.132396086656328</v>
      </c>
      <c r="DP22" s="2">
        <f t="shared" si="45"/>
        <v>76.361072125789761</v>
      </c>
      <c r="DQ22" s="2">
        <f t="shared" si="45"/>
        <v>75.597461404531856</v>
      </c>
      <c r="DR22" s="2">
        <f t="shared" si="45"/>
        <v>74.841486790486542</v>
      </c>
      <c r="DS22" s="2">
        <f t="shared" si="45"/>
        <v>74.093071922581672</v>
      </c>
      <c r="DT22" s="2">
        <f t="shared" si="45"/>
        <v>73.352141203355856</v>
      </c>
      <c r="DU22" s="2">
        <f t="shared" si="45"/>
        <v>72.618619791322303</v>
      </c>
      <c r="DV22" s="2">
        <f t="shared" si="45"/>
        <v>71.892433593409081</v>
      </c>
      <c r="DW22" s="2">
        <f t="shared" si="45"/>
        <v>71.17350925747499</v>
      </c>
      <c r="DX22" s="2">
        <f t="shared" si="45"/>
        <v>70.461774164900234</v>
      </c>
      <c r="DY22" s="2">
        <f t="shared" si="45"/>
        <v>69.757156423251232</v>
      </c>
      <c r="DZ22" s="2">
        <f t="shared" si="45"/>
        <v>69.059584859018713</v>
      </c>
      <c r="EA22" s="2">
        <f t="shared" si="45"/>
        <v>68.368989010428521</v>
      </c>
      <c r="EB22" s="2">
        <f t="shared" si="45"/>
        <v>67.685299120324231</v>
      </c>
      <c r="EC22" s="2">
        <f t="shared" si="45"/>
        <v>67.008446129120983</v>
      </c>
      <c r="ED22" s="2">
        <f t="shared" si="45"/>
        <v>66.338361667829773</v>
      </c>
      <c r="EE22" s="2">
        <f t="shared" si="45"/>
        <v>65.67497805115147</v>
      </c>
      <c r="EF22" s="2">
        <f t="shared" si="45"/>
        <v>65.018228270639952</v>
      </c>
      <c r="EG22" s="2">
        <f t="shared" si="45"/>
        <v>64.368045987933556</v>
      </c>
    </row>
    <row r="23" spans="2:137">
      <c r="B23" s="1" t="s">
        <v>2</v>
      </c>
      <c r="E23" s="6">
        <f>168.8</f>
        <v>168.8</v>
      </c>
      <c r="G23" s="6">
        <f t="shared" ref="G23:L23" si="46">168.8</f>
        <v>168.8</v>
      </c>
      <c r="H23" s="6">
        <f t="shared" si="46"/>
        <v>168.8</v>
      </c>
      <c r="I23" s="6">
        <f t="shared" si="46"/>
        <v>168.8</v>
      </c>
      <c r="J23" s="6">
        <f t="shared" si="46"/>
        <v>168.8</v>
      </c>
      <c r="K23" s="6">
        <f t="shared" si="46"/>
        <v>168.8</v>
      </c>
      <c r="L23" s="6">
        <f t="shared" si="46"/>
        <v>168.8</v>
      </c>
      <c r="M23" s="6">
        <f t="shared" ref="M23:N23" si="47">168.8</f>
        <v>168.8</v>
      </c>
      <c r="N23" s="6">
        <f t="shared" si="47"/>
        <v>168.8</v>
      </c>
      <c r="P23" s="6">
        <f t="shared" ref="P23:W23" si="48">168.8</f>
        <v>168.8</v>
      </c>
      <c r="Q23" s="6">
        <f t="shared" si="48"/>
        <v>168.8</v>
      </c>
      <c r="R23" s="6">
        <f t="shared" si="48"/>
        <v>168.8</v>
      </c>
      <c r="S23" s="6">
        <f t="shared" si="48"/>
        <v>168.8</v>
      </c>
      <c r="T23" s="6">
        <f t="shared" si="48"/>
        <v>168.8</v>
      </c>
      <c r="U23" s="6">
        <f t="shared" si="48"/>
        <v>168.8</v>
      </c>
      <c r="V23" s="6">
        <f t="shared" si="48"/>
        <v>168.8</v>
      </c>
      <c r="W23" s="6">
        <f t="shared" si="48"/>
        <v>168.8</v>
      </c>
      <c r="X23" s="6">
        <f t="shared" ref="X23:AF23" si="49">168.8</f>
        <v>168.8</v>
      </c>
      <c r="Y23" s="6">
        <f t="shared" si="49"/>
        <v>168.8</v>
      </c>
      <c r="Z23" s="6">
        <f t="shared" si="49"/>
        <v>168.8</v>
      </c>
      <c r="AA23" s="6">
        <f t="shared" si="49"/>
        <v>168.8</v>
      </c>
      <c r="AB23" s="6">
        <f t="shared" si="49"/>
        <v>168.8</v>
      </c>
      <c r="AC23" s="6">
        <f t="shared" si="49"/>
        <v>168.8</v>
      </c>
      <c r="AD23" s="6">
        <f t="shared" si="49"/>
        <v>168.8</v>
      </c>
      <c r="AE23" s="6">
        <f t="shared" si="49"/>
        <v>168.8</v>
      </c>
      <c r="AF23" s="6">
        <f t="shared" si="49"/>
        <v>168.8</v>
      </c>
    </row>
    <row r="24" spans="2:137">
      <c r="B24" s="1" t="s">
        <v>27</v>
      </c>
      <c r="E24" s="8">
        <f>E22/E23</f>
        <v>1.7772511848341419E-2</v>
      </c>
      <c r="G24" s="8">
        <f t="shared" ref="G24:L24" si="50">G22/G23</f>
        <v>7.7014218009478662E-3</v>
      </c>
      <c r="H24" s="8">
        <f t="shared" si="50"/>
        <v>4.6800947867298659E-2</v>
      </c>
      <c r="I24" s="8">
        <f t="shared" si="50"/>
        <v>1.8957345971563892E-2</v>
      </c>
      <c r="J24" s="8">
        <f t="shared" si="50"/>
        <v>2.3104265402842928E-2</v>
      </c>
      <c r="K24" s="8">
        <f t="shared" si="50"/>
        <v>2.6658767772511978E-2</v>
      </c>
      <c r="L24" s="8">
        <f t="shared" si="50"/>
        <v>1.7180094786729959E-2</v>
      </c>
      <c r="M24" s="8">
        <f t="shared" ref="M24:N24" si="51">M22/M23</f>
        <v>3.3503317535545064E-2</v>
      </c>
      <c r="N24" s="8">
        <f t="shared" si="51"/>
        <v>4.0962369668246401E-2</v>
      </c>
      <c r="P24" s="8">
        <f t="shared" ref="P24:W24" si="52">P22/P23</f>
        <v>6.4573459715639631E-2</v>
      </c>
      <c r="Q24" s="8">
        <f t="shared" si="52"/>
        <v>0.475710900473934</v>
      </c>
      <c r="R24" s="8">
        <f t="shared" si="52"/>
        <v>2.9620853080570848E-3</v>
      </c>
      <c r="S24" s="8">
        <f t="shared" si="52"/>
        <v>-0.19668246445497634</v>
      </c>
      <c r="T24" s="8">
        <f t="shared" si="52"/>
        <v>1.4218009478672283E-2</v>
      </c>
      <c r="U24" s="8">
        <f t="shared" si="52"/>
        <v>9.6563981042653693E-2</v>
      </c>
      <c r="V24" s="8">
        <f t="shared" si="52"/>
        <v>0.11830454976303163</v>
      </c>
      <c r="W24" s="8">
        <f t="shared" si="52"/>
        <v>0.27974127014218053</v>
      </c>
      <c r="X24" s="8">
        <f t="shared" ref="X24:AF24" si="53">X22/X23</f>
        <v>0.41939879021800908</v>
      </c>
      <c r="Y24" s="8">
        <f t="shared" si="53"/>
        <v>0.50648896345099481</v>
      </c>
      <c r="Z24" s="8">
        <f t="shared" si="53"/>
        <v>0.56562349071338125</v>
      </c>
      <c r="AA24" s="8">
        <f t="shared" si="53"/>
        <v>0.64105723521221847</v>
      </c>
      <c r="AB24" s="8">
        <f t="shared" si="53"/>
        <v>0.72124499851070689</v>
      </c>
      <c r="AC24" s="8">
        <f t="shared" si="53"/>
        <v>0.80647069351416245</v>
      </c>
      <c r="AD24" s="8">
        <f t="shared" si="53"/>
        <v>0.89703518639333224</v>
      </c>
      <c r="AE24" s="8">
        <f t="shared" si="53"/>
        <v>0.9932573117187854</v>
      </c>
      <c r="AF24" s="8">
        <f t="shared" si="53"/>
        <v>1.0954749484613953</v>
      </c>
    </row>
    <row r="26" spans="2:137">
      <c r="B26" s="1" t="s">
        <v>42</v>
      </c>
      <c r="E26" s="10"/>
      <c r="F26" s="10"/>
      <c r="G26" s="10"/>
      <c r="H26" s="10"/>
      <c r="I26" s="10">
        <f t="shared" ref="I26:K28" si="54">I5/E5-1</f>
        <v>-2.4413145539906034E-2</v>
      </c>
      <c r="J26" s="10"/>
      <c r="K26" s="10">
        <f t="shared" si="54"/>
        <v>-3.8497652582159536E-2</v>
      </c>
      <c r="L26" s="10">
        <f>L5/H5-1</f>
        <v>0.26666666666666683</v>
      </c>
      <c r="M26" s="10">
        <f t="shared" ref="M26:N28" si="55">M5/I5-1</f>
        <v>0.12000000000000011</v>
      </c>
      <c r="N26" s="10">
        <f t="shared" si="55"/>
        <v>0.12000000000000011</v>
      </c>
      <c r="P26" s="10"/>
      <c r="Q26" s="10">
        <f t="shared" ref="Q26:T26" si="56">Q5/P5-1</f>
        <v>-8.7674247982391873E-2</v>
      </c>
      <c r="R26" s="10">
        <f t="shared" si="56"/>
        <v>-0.11781262565339756</v>
      </c>
      <c r="S26" s="10">
        <f t="shared" si="56"/>
        <v>0.48222424794895158</v>
      </c>
      <c r="T26" s="10">
        <f t="shared" si="56"/>
        <v>0.23800738007380096</v>
      </c>
      <c r="U26" s="10">
        <f>U5/T5-1</f>
        <v>5.1664182811723691E-2</v>
      </c>
      <c r="V26" s="10">
        <f t="shared" ref="V26:AF26" si="57">V5/U5-1</f>
        <v>0.11702409069437891</v>
      </c>
      <c r="W26" s="10">
        <f t="shared" si="57"/>
        <v>8.0000000000000071E-2</v>
      </c>
      <c r="X26" s="10">
        <f t="shared" si="57"/>
        <v>4.0000000000000036E-2</v>
      </c>
      <c r="Y26" s="10">
        <f t="shared" si="57"/>
        <v>3.0000000000000027E-2</v>
      </c>
      <c r="Z26" s="10">
        <f t="shared" si="57"/>
        <v>2.0000000000000018E-2</v>
      </c>
      <c r="AA26" s="10">
        <f t="shared" si="57"/>
        <v>2.0000000000000018E-2</v>
      </c>
      <c r="AB26" s="10">
        <f t="shared" si="57"/>
        <v>2.0000000000000018E-2</v>
      </c>
      <c r="AC26" s="10">
        <f t="shared" si="57"/>
        <v>2.0000000000000018E-2</v>
      </c>
      <c r="AD26" s="10">
        <f t="shared" si="57"/>
        <v>2.0000000000000018E-2</v>
      </c>
      <c r="AE26" s="10">
        <f t="shared" si="57"/>
        <v>2.0000000000000018E-2</v>
      </c>
      <c r="AF26" s="10">
        <f t="shared" si="57"/>
        <v>2.0000000000000018E-2</v>
      </c>
    </row>
    <row r="27" spans="2:137">
      <c r="B27" s="1" t="s">
        <v>43</v>
      </c>
      <c r="E27" s="10"/>
      <c r="F27" s="10"/>
      <c r="G27" s="10"/>
      <c r="H27" s="10"/>
      <c r="I27" s="10">
        <f t="shared" si="54"/>
        <v>2.3200475907198204E-2</v>
      </c>
      <c r="J27" s="10"/>
      <c r="K27" s="10">
        <f t="shared" si="54"/>
        <v>0.17281780902167543</v>
      </c>
      <c r="L27" s="10">
        <f t="shared" ref="L27:L28" si="58">L6/H6-1</f>
        <v>0.11880165289256195</v>
      </c>
      <c r="M27" s="10">
        <f t="shared" si="55"/>
        <v>0.16999999999999993</v>
      </c>
      <c r="N27" s="10">
        <f t="shared" si="55"/>
        <v>0.16999999999999993</v>
      </c>
      <c r="P27" s="10"/>
      <c r="Q27" s="10">
        <f t="shared" ref="Q27:T27" si="59">Q6/P6-1</f>
        <v>0.12160035963137794</v>
      </c>
      <c r="R27" s="10">
        <f t="shared" si="59"/>
        <v>0.18657314629258526</v>
      </c>
      <c r="S27" s="10">
        <f t="shared" si="59"/>
        <v>-3.2089174125992215E-2</v>
      </c>
      <c r="T27" s="10">
        <f t="shared" si="59"/>
        <v>0.10713662537079038</v>
      </c>
      <c r="U27" s="10">
        <f>U6/T6-1</f>
        <v>0.12356185973207245</v>
      </c>
      <c r="V27" s="10">
        <f t="shared" ref="V27:AF27" si="60">V6/U6-1</f>
        <v>0.15677093561509325</v>
      </c>
      <c r="W27" s="10">
        <f t="shared" si="60"/>
        <v>0.10000000000000009</v>
      </c>
      <c r="X27" s="10">
        <f t="shared" si="60"/>
        <v>8.0000000000000071E-2</v>
      </c>
      <c r="Y27" s="10">
        <f t="shared" si="60"/>
        <v>6.0000000000000053E-2</v>
      </c>
      <c r="Z27" s="10">
        <f t="shared" si="60"/>
        <v>6.0000000000000053E-2</v>
      </c>
      <c r="AA27" s="10">
        <f t="shared" si="60"/>
        <v>6.0000000000000053E-2</v>
      </c>
      <c r="AB27" s="10">
        <f t="shared" si="60"/>
        <v>6.0000000000000053E-2</v>
      </c>
      <c r="AC27" s="10">
        <f t="shared" si="60"/>
        <v>6.0000000000000053E-2</v>
      </c>
      <c r="AD27" s="10">
        <f t="shared" si="60"/>
        <v>6.0000000000000053E-2</v>
      </c>
      <c r="AE27" s="10">
        <f t="shared" si="60"/>
        <v>6.0000000000000053E-2</v>
      </c>
      <c r="AF27" s="10">
        <f t="shared" si="60"/>
        <v>6.0000000000000053E-2</v>
      </c>
    </row>
    <row r="28" spans="2:137">
      <c r="B28" s="1" t="s">
        <v>44</v>
      </c>
      <c r="E28" s="10"/>
      <c r="F28" s="10"/>
      <c r="G28" s="10"/>
      <c r="H28" s="10"/>
      <c r="I28" s="10">
        <f t="shared" si="54"/>
        <v>4.73415877640182E-3</v>
      </c>
      <c r="J28" s="10"/>
      <c r="K28" s="10">
        <f t="shared" si="54"/>
        <v>9.1630591630591729E-2</v>
      </c>
      <c r="L28" s="10">
        <f t="shared" si="58"/>
        <v>0.17127624125291563</v>
      </c>
      <c r="M28" s="10">
        <f t="shared" si="55"/>
        <v>0.15117071402682147</v>
      </c>
      <c r="N28" s="10">
        <f t="shared" si="55"/>
        <v>0.15119039208760165</v>
      </c>
      <c r="P28" s="10"/>
      <c r="Q28" s="10">
        <f t="shared" ref="Q28:T28" si="61">Q7/P7-1</f>
        <v>4.2090592334494747E-2</v>
      </c>
      <c r="R28" s="10">
        <f t="shared" si="61"/>
        <v>8.532834024341307E-2</v>
      </c>
      <c r="S28" s="10">
        <f t="shared" si="61"/>
        <v>0.106962415280345</v>
      </c>
      <c r="T28" s="10">
        <f t="shared" si="61"/>
        <v>0.15451408215518203</v>
      </c>
      <c r="U28" s="10">
        <f>U7/T7-1</f>
        <v>9.5651335454633113E-2</v>
      </c>
      <c r="V28" s="10">
        <f t="shared" ref="V28:AF28" si="62">V7/U7-1</f>
        <v>0.14196074980198881</v>
      </c>
      <c r="W28" s="10">
        <f t="shared" si="62"/>
        <v>9.2710475412489224E-2</v>
      </c>
      <c r="X28" s="10">
        <f t="shared" si="62"/>
        <v>6.5590535221070612E-2</v>
      </c>
      <c r="Y28" s="10">
        <f t="shared" si="62"/>
        <v>4.9452437727186549E-2</v>
      </c>
      <c r="Z28" s="10">
        <f t="shared" si="62"/>
        <v>4.6197260272190288E-2</v>
      </c>
      <c r="AA28" s="10">
        <f t="shared" si="62"/>
        <v>4.654288721927724E-2</v>
      </c>
      <c r="AB28" s="10">
        <f t="shared" si="62"/>
        <v>4.6884192512350209E-2</v>
      </c>
      <c r="AC28" s="10">
        <f t="shared" si="62"/>
        <v>4.7221009035108841E-2</v>
      </c>
      <c r="AD28" s="10">
        <f t="shared" si="62"/>
        <v>4.7553180587735833E-2</v>
      </c>
      <c r="AE28" s="10">
        <f t="shared" si="62"/>
        <v>4.7880562022267537E-2</v>
      </c>
      <c r="AF28" s="10">
        <f t="shared" si="62"/>
        <v>4.8203019327479169E-2</v>
      </c>
      <c r="AH28" s="1" t="s">
        <v>52</v>
      </c>
      <c r="AI28" s="10">
        <v>-0.01</v>
      </c>
    </row>
    <row r="29" spans="2:137">
      <c r="B29" s="1" t="s">
        <v>45</v>
      </c>
      <c r="E29" s="10">
        <f t="shared" ref="E29" si="63">(E5-E8)/E8</f>
        <v>0.34810126582278483</v>
      </c>
      <c r="F29" s="10"/>
      <c r="G29" s="10">
        <f t="shared" ref="G29:K29" si="64">(G5-G8)/G5</f>
        <v>0.25633802816901408</v>
      </c>
      <c r="H29" s="10">
        <f t="shared" si="64"/>
        <v>0.27699530516431925</v>
      </c>
      <c r="I29" s="10">
        <f t="shared" si="64"/>
        <v>0.26179018286814248</v>
      </c>
      <c r="J29" s="10">
        <f t="shared" si="64"/>
        <v>0.27605633802816892</v>
      </c>
      <c r="K29" s="10">
        <f t="shared" si="64"/>
        <v>0.2607421875</v>
      </c>
      <c r="L29" s="10">
        <f>(L5-L8)/L5</f>
        <v>0.20533728687916977</v>
      </c>
      <c r="M29" s="10">
        <f t="shared" ref="M29:N29" si="65">(M5-M8)/M5</f>
        <v>0.25000000000000006</v>
      </c>
      <c r="N29" s="10">
        <f t="shared" si="65"/>
        <v>0.25000000000000006</v>
      </c>
      <c r="P29" s="10">
        <f t="shared" ref="P29:U29" si="66">(P5-P8)/P5</f>
        <v>0.2956713132795305</v>
      </c>
      <c r="Q29" s="10">
        <f t="shared" si="66"/>
        <v>0.266184157619622</v>
      </c>
      <c r="R29" s="10">
        <f t="shared" si="66"/>
        <v>0.28805834092980864</v>
      </c>
      <c r="S29" s="10">
        <f t="shared" si="66"/>
        <v>0.26506765067650673</v>
      </c>
      <c r="T29" s="10">
        <f t="shared" si="66"/>
        <v>0.24689518132141089</v>
      </c>
      <c r="U29" s="10">
        <f t="shared" si="66"/>
        <v>0.26783183750590456</v>
      </c>
      <c r="V29" s="10">
        <f t="shared" ref="V29:AF29" si="67">(V5-V8)/V5</f>
        <v>0.2395865930292547</v>
      </c>
      <c r="W29" s="10">
        <f t="shared" si="67"/>
        <v>0.25</v>
      </c>
      <c r="X29" s="10">
        <f t="shared" si="67"/>
        <v>0.26000000000000006</v>
      </c>
      <c r="Y29" s="10">
        <f t="shared" si="67"/>
        <v>0.27</v>
      </c>
      <c r="Z29" s="10">
        <f t="shared" si="67"/>
        <v>0.27</v>
      </c>
      <c r="AA29" s="10">
        <f t="shared" si="67"/>
        <v>0.26999999999999996</v>
      </c>
      <c r="AB29" s="10">
        <f t="shared" si="67"/>
        <v>0.27</v>
      </c>
      <c r="AC29" s="10">
        <f t="shared" si="67"/>
        <v>0.27</v>
      </c>
      <c r="AD29" s="10">
        <f t="shared" si="67"/>
        <v>0.27000000000000007</v>
      </c>
      <c r="AE29" s="10">
        <f t="shared" si="67"/>
        <v>0.26999999999999996</v>
      </c>
      <c r="AF29" s="10">
        <f t="shared" si="67"/>
        <v>0.27</v>
      </c>
      <c r="AH29" s="1" t="s">
        <v>53</v>
      </c>
      <c r="AI29" s="10">
        <v>0.09</v>
      </c>
    </row>
    <row r="30" spans="2:137">
      <c r="B30" s="1" t="s">
        <v>46</v>
      </c>
      <c r="E30" s="10">
        <f t="shared" ref="E30" si="68">(E6-E9)/E9</f>
        <v>0.3756137479541734</v>
      </c>
      <c r="F30" s="10"/>
      <c r="G30" s="10">
        <f t="shared" ref="G30:K30" si="69">(G6-G9)/G6</f>
        <v>0.25600468658465136</v>
      </c>
      <c r="H30" s="10">
        <f t="shared" si="69"/>
        <v>0.2463842975206611</v>
      </c>
      <c r="I30" s="10">
        <f t="shared" si="69"/>
        <v>0.2441860465116279</v>
      </c>
      <c r="J30" s="10">
        <f t="shared" si="69"/>
        <v>0.22876557191392938</v>
      </c>
      <c r="K30" s="10">
        <f t="shared" si="69"/>
        <v>0.23426573426573416</v>
      </c>
      <c r="L30" s="10">
        <f>(L6-L9)/L6</f>
        <v>0.21283471837488455</v>
      </c>
      <c r="M30" s="10">
        <f t="shared" ref="M30:N30" si="70">(M6-M9)/M6</f>
        <v>0.23000000000000004</v>
      </c>
      <c r="N30" s="10">
        <f t="shared" si="70"/>
        <v>0.22999999999999998</v>
      </c>
      <c r="P30" s="10">
        <f t="shared" ref="P30:U30" si="71">(P6-P9)/P6</f>
        <v>0.24589795459653851</v>
      </c>
      <c r="Q30" s="10">
        <f t="shared" si="71"/>
        <v>0.27454909819639278</v>
      </c>
      <c r="R30" s="10">
        <f t="shared" si="71"/>
        <v>0.2734335416314812</v>
      </c>
      <c r="S30" s="10">
        <f t="shared" si="71"/>
        <v>0.24393648577909616</v>
      </c>
      <c r="T30" s="10">
        <f t="shared" si="71"/>
        <v>0.26666666666666666</v>
      </c>
      <c r="U30" s="10">
        <f t="shared" si="71"/>
        <v>0.24379295833917794</v>
      </c>
      <c r="V30" s="10">
        <f t="shared" ref="V30:AF30" si="72">(V6-V9)/V6</f>
        <v>0.2265270619963087</v>
      </c>
      <c r="W30" s="10">
        <f t="shared" si="72"/>
        <v>0.24000000000000005</v>
      </c>
      <c r="X30" s="10">
        <f t="shared" si="72"/>
        <v>0.25</v>
      </c>
      <c r="Y30" s="10">
        <f t="shared" si="72"/>
        <v>0.25000000000000006</v>
      </c>
      <c r="Z30" s="10">
        <f t="shared" si="72"/>
        <v>0.25000000000000006</v>
      </c>
      <c r="AA30" s="10">
        <f t="shared" si="72"/>
        <v>0.25000000000000006</v>
      </c>
      <c r="AB30" s="10">
        <f t="shared" si="72"/>
        <v>0.25</v>
      </c>
      <c r="AC30" s="10">
        <f t="shared" si="72"/>
        <v>0.24999999999999994</v>
      </c>
      <c r="AD30" s="10">
        <f t="shared" si="72"/>
        <v>0.25000000000000006</v>
      </c>
      <c r="AE30" s="10">
        <f t="shared" si="72"/>
        <v>0.24999999999999997</v>
      </c>
      <c r="AF30" s="10">
        <f t="shared" si="72"/>
        <v>0.24999999999999992</v>
      </c>
      <c r="AH30" s="1" t="s">
        <v>54</v>
      </c>
      <c r="AI30" s="6">
        <f>NPV(AI29,V22:EG22)</f>
        <v>1356.41105644608</v>
      </c>
    </row>
    <row r="31" spans="2:137">
      <c r="B31" s="1" t="s">
        <v>47</v>
      </c>
      <c r="E31" s="10"/>
      <c r="F31" s="10"/>
      <c r="G31" s="10">
        <f t="shared" ref="G31:K31" si="73">G11/G7</f>
        <v>0.25613275613275616</v>
      </c>
      <c r="H31" s="10">
        <f t="shared" si="73"/>
        <v>0.25724758413862048</v>
      </c>
      <c r="I31" s="10">
        <f t="shared" si="73"/>
        <v>0.25081551286698078</v>
      </c>
      <c r="J31" s="10">
        <f t="shared" si="73"/>
        <v>0.24655598728364503</v>
      </c>
      <c r="K31" s="10">
        <f t="shared" si="73"/>
        <v>0.24322538003965638</v>
      </c>
      <c r="L31" s="10">
        <f>L11/L7</f>
        <v>0.20995732574679946</v>
      </c>
      <c r="M31" s="10">
        <f t="shared" ref="M31:N31" si="74">M11/M7</f>
        <v>0.23732777511901468</v>
      </c>
      <c r="N31" s="10">
        <f t="shared" si="74"/>
        <v>0.23731999189940539</v>
      </c>
      <c r="P31" s="10">
        <f t="shared" ref="P31:U31" si="75">P11/P7</f>
        <v>0.26480836236933797</v>
      </c>
      <c r="Q31" s="10">
        <f t="shared" si="75"/>
        <v>0.2717667513708707</v>
      </c>
      <c r="R31" s="10">
        <f t="shared" si="75"/>
        <v>0.27738755391250774</v>
      </c>
      <c r="S31" s="10">
        <f t="shared" si="75"/>
        <v>0.2515863297339419</v>
      </c>
      <c r="T31" s="10">
        <f t="shared" si="75"/>
        <v>0.25899141837816986</v>
      </c>
      <c r="U31" s="10">
        <f t="shared" si="75"/>
        <v>0.25275015400862444</v>
      </c>
      <c r="V31" s="10">
        <f t="shared" ref="V31:AF31" si="76">V11/V7</f>
        <v>0.23128695062460972</v>
      </c>
      <c r="W31" s="10">
        <f t="shared" si="76"/>
        <v>0.24360236619473244</v>
      </c>
      <c r="X31" s="10">
        <f t="shared" si="76"/>
        <v>0.25351585409093785</v>
      </c>
      <c r="Y31" s="10">
        <f t="shared" si="76"/>
        <v>0.25690136986390494</v>
      </c>
      <c r="Z31" s="10">
        <f t="shared" si="76"/>
        <v>0.25672855639036152</v>
      </c>
      <c r="AA31" s="10">
        <f t="shared" si="76"/>
        <v>0.25655790374382492</v>
      </c>
      <c r="AB31" s="10">
        <f t="shared" si="76"/>
        <v>0.25638949548244572</v>
      </c>
      <c r="AC31" s="10">
        <f t="shared" si="76"/>
        <v>0.25622340970613205</v>
      </c>
      <c r="AD31" s="10">
        <f t="shared" si="76"/>
        <v>0.25605971898886631</v>
      </c>
      <c r="AE31" s="10">
        <f t="shared" si="76"/>
        <v>0.25589849033626039</v>
      </c>
      <c r="AF31" s="10">
        <f t="shared" si="76"/>
        <v>0.25573978516761559</v>
      </c>
      <c r="AH31" s="1" t="s">
        <v>55</v>
      </c>
      <c r="AI31" s="6">
        <f>Main!D8</f>
        <v>613.79999999999995</v>
      </c>
    </row>
    <row r="32" spans="2:137">
      <c r="B32" s="1" t="s">
        <v>48</v>
      </c>
      <c r="E32" s="10"/>
      <c r="F32" s="10"/>
      <c r="G32" s="10"/>
      <c r="H32" s="10"/>
      <c r="I32" s="10">
        <f t="shared" ref="I32:K32" si="77">I12/E12-1</f>
        <v>3.3398821218074692E-2</v>
      </c>
      <c r="J32" s="10"/>
      <c r="K32" s="10">
        <f t="shared" si="77"/>
        <v>4.7794117647058876E-2</v>
      </c>
      <c r="L32" s="10">
        <f>L12/H12-1</f>
        <v>9.9082568807339344E-2</v>
      </c>
      <c r="M32" s="10">
        <f t="shared" ref="M32:N32" si="78">M12/I12-1</f>
        <v>8.0000000000000071E-2</v>
      </c>
      <c r="N32" s="10">
        <f t="shared" si="78"/>
        <v>8.0000000000000071E-2</v>
      </c>
      <c r="P32" s="10"/>
      <c r="Q32" s="10">
        <f t="shared" ref="Q32:T32" si="79">Q12/P12-1</f>
        <v>0.10474006116207946</v>
      </c>
      <c r="R32" s="10">
        <f t="shared" si="79"/>
        <v>0.10865051903114176</v>
      </c>
      <c r="S32" s="10">
        <f t="shared" si="79"/>
        <v>0.14107365792759063</v>
      </c>
      <c r="T32" s="10">
        <f t="shared" si="79"/>
        <v>8.2056892778993529E-2</v>
      </c>
      <c r="U32" s="10">
        <f>U12/T12-1</f>
        <v>8.1900910010111128E-2</v>
      </c>
      <c r="V32" s="10">
        <f t="shared" ref="V32:AF32" si="80">V12/U12-1</f>
        <v>7.6672897196261802E-2</v>
      </c>
      <c r="W32" s="10">
        <f t="shared" si="80"/>
        <v>4.0000000000000036E-2</v>
      </c>
      <c r="X32" s="10">
        <f t="shared" si="80"/>
        <v>3.0000000000000027E-2</v>
      </c>
      <c r="Y32" s="10">
        <f t="shared" si="80"/>
        <v>2.0000000000000018E-2</v>
      </c>
      <c r="Z32" s="10">
        <f t="shared" si="80"/>
        <v>2.0000000000000018E-2</v>
      </c>
      <c r="AA32" s="10">
        <f t="shared" si="80"/>
        <v>1.0000000000000009E-2</v>
      </c>
      <c r="AB32" s="10">
        <f t="shared" si="80"/>
        <v>1.0000000000000009E-2</v>
      </c>
      <c r="AC32" s="10">
        <f t="shared" si="80"/>
        <v>1.0000000000000009E-2</v>
      </c>
      <c r="AD32" s="10">
        <f t="shared" si="80"/>
        <v>1.0000000000000009E-2</v>
      </c>
      <c r="AE32" s="10">
        <f t="shared" si="80"/>
        <v>1.0000000000000009E-2</v>
      </c>
      <c r="AF32" s="10">
        <f t="shared" si="80"/>
        <v>1.0000000000000009E-2</v>
      </c>
      <c r="AH32" s="1" t="s">
        <v>56</v>
      </c>
      <c r="AI32" s="6">
        <f>AI30+AI31</f>
        <v>1970.21105644608</v>
      </c>
    </row>
    <row r="33" spans="2:35">
      <c r="B33" s="1" t="s">
        <v>49</v>
      </c>
      <c r="E33" s="10"/>
      <c r="F33" s="10"/>
      <c r="G33" s="10"/>
      <c r="H33" s="10"/>
      <c r="I33" s="10">
        <f t="shared" ref="I33:K33" si="81">I14/E14-1</f>
        <v>-3.8834951456310662E-2</v>
      </c>
      <c r="J33" s="10"/>
      <c r="K33" s="10">
        <f t="shared" si="81"/>
        <v>4.1666666666666741E-2</v>
      </c>
      <c r="L33" s="10">
        <f>L14/H14-1</f>
        <v>0</v>
      </c>
      <c r="M33" s="10">
        <f t="shared" ref="M33:N33" si="82">M14/I14-1</f>
        <v>6.0606060606060552E-2</v>
      </c>
      <c r="N33" s="10">
        <f t="shared" si="82"/>
        <v>3.7735849056603765E-2</v>
      </c>
      <c r="P33" s="10"/>
      <c r="Q33" s="10">
        <f t="shared" ref="Q33:T33" si="83">Q14/P14-1</f>
        <v>0.5</v>
      </c>
      <c r="R33" s="10">
        <f t="shared" si="83"/>
        <v>0.30370370370370381</v>
      </c>
      <c r="S33" s="10">
        <f t="shared" si="83"/>
        <v>9.659090909090895E-2</v>
      </c>
      <c r="T33" s="10">
        <f t="shared" si="83"/>
        <v>-5.1813471502590858E-3</v>
      </c>
      <c r="U33" s="10">
        <f>U14/T14-1</f>
        <v>4.9479166666666741E-2</v>
      </c>
      <c r="V33" s="10">
        <f t="shared" ref="V33:AF33" si="84">V14/U14-1</f>
        <v>3.473945409429291E-2</v>
      </c>
      <c r="W33" s="10">
        <f t="shared" si="84"/>
        <v>2.0000000000000018E-2</v>
      </c>
      <c r="X33" s="10">
        <f t="shared" si="84"/>
        <v>2.0000000000000018E-2</v>
      </c>
      <c r="Y33" s="10">
        <f t="shared" si="84"/>
        <v>2.0000000000000018E-2</v>
      </c>
      <c r="Z33" s="10">
        <f t="shared" si="84"/>
        <v>2.0000000000000018E-2</v>
      </c>
      <c r="AA33" s="10">
        <f t="shared" si="84"/>
        <v>2.0000000000000018E-2</v>
      </c>
      <c r="AB33" s="10">
        <f t="shared" si="84"/>
        <v>2.0000000000000018E-2</v>
      </c>
      <c r="AC33" s="10">
        <f t="shared" si="84"/>
        <v>2.0000000000000018E-2</v>
      </c>
      <c r="AD33" s="10">
        <f t="shared" si="84"/>
        <v>2.0000000000000018E-2</v>
      </c>
      <c r="AE33" s="10">
        <f t="shared" si="84"/>
        <v>2.0000000000000018E-2</v>
      </c>
      <c r="AF33" s="10">
        <f t="shared" si="84"/>
        <v>2.0000000000000018E-2</v>
      </c>
      <c r="AH33" s="1" t="s">
        <v>57</v>
      </c>
      <c r="AI33" s="4">
        <f>AI32/AF23</f>
        <v>11.671866448140284</v>
      </c>
    </row>
    <row r="34" spans="2:35">
      <c r="B34" s="1" t="s">
        <v>50</v>
      </c>
      <c r="E34" s="10">
        <f t="shared" ref="E34:K34" si="85">E17/E7</f>
        <v>4.4428259286234631E-2</v>
      </c>
      <c r="F34" s="10"/>
      <c r="G34" s="10">
        <f t="shared" si="85"/>
        <v>2.5252525252525252E-2</v>
      </c>
      <c r="H34" s="10">
        <f t="shared" si="85"/>
        <v>4.1652782405864758E-2</v>
      </c>
      <c r="I34" s="10">
        <f t="shared" si="85"/>
        <v>2.3559260601667222E-2</v>
      </c>
      <c r="J34" s="10">
        <f t="shared" si="85"/>
        <v>1.0596962204167738E-2</v>
      </c>
      <c r="K34" s="10">
        <f t="shared" si="85"/>
        <v>2.1810971579643165E-2</v>
      </c>
      <c r="L34" s="10">
        <f>L17/L7</f>
        <v>1.0526315789473733E-2</v>
      </c>
      <c r="M34" s="10">
        <f t="shared" ref="M34:N34" si="86">M17/M7</f>
        <v>2.5406161053877763E-2</v>
      </c>
      <c r="N34" s="10">
        <f t="shared" si="86"/>
        <v>2.9588833453001184E-2</v>
      </c>
      <c r="P34" s="10">
        <f t="shared" ref="P34:T34" si="87">P17/P7</f>
        <v>5.2961672473867558E-2</v>
      </c>
      <c r="Q34" s="10">
        <f t="shared" si="87"/>
        <v>3.9186839641567564E-2</v>
      </c>
      <c r="R34" s="10">
        <f t="shared" si="87"/>
        <v>3.4380776340110948E-2</v>
      </c>
      <c r="S34" s="10">
        <f t="shared" si="87"/>
        <v>-3.2283201603028008E-3</v>
      </c>
      <c r="T34" s="10">
        <f t="shared" si="87"/>
        <v>2.9987465046764906E-2</v>
      </c>
      <c r="U34" s="10">
        <f>U17/U7</f>
        <v>2.5521429200035153E-2</v>
      </c>
      <c r="V34" s="10">
        <f t="shared" ref="V34:AF34" si="88">V17/V7</f>
        <v>2.1587580243678565E-2</v>
      </c>
      <c r="W34" s="10">
        <f t="shared" si="88"/>
        <v>4.4606721866893864E-2</v>
      </c>
      <c r="X34" s="10">
        <f t="shared" si="88"/>
        <v>6.1448140838875329E-2</v>
      </c>
      <c r="Y34" s="10">
        <f t="shared" si="88"/>
        <v>7.0223955553079434E-2</v>
      </c>
      <c r="Z34" s="10">
        <f t="shared" si="88"/>
        <v>7.472563033844036E-2</v>
      </c>
      <c r="AA34" s="10">
        <f t="shared" si="88"/>
        <v>8.0650109917015059E-2</v>
      </c>
      <c r="AB34" s="10">
        <f t="shared" si="88"/>
        <v>8.6426029453121861E-2</v>
      </c>
      <c r="AC34" s="10">
        <f t="shared" si="88"/>
        <v>9.205416262789573E-2</v>
      </c>
      <c r="AD34" s="10">
        <f t="shared" si="88"/>
        <v>9.7535445285423392E-2</v>
      </c>
      <c r="AE34" s="10">
        <f t="shared" si="88"/>
        <v>0.10287096949453139</v>
      </c>
      <c r="AF34" s="10">
        <f t="shared" si="88"/>
        <v>0.10806197714983941</v>
      </c>
      <c r="AH34" s="1" t="s">
        <v>58</v>
      </c>
      <c r="AI34" s="4">
        <f>Main!D3</f>
        <v>107.54</v>
      </c>
    </row>
    <row r="35" spans="2:35">
      <c r="B35" s="1" t="s">
        <v>25</v>
      </c>
      <c r="E35" s="10">
        <f t="shared" ref="E35:K35" si="89">E21/E20</f>
        <v>0.55882352941176205</v>
      </c>
      <c r="F35" s="10"/>
      <c r="G35" s="10">
        <f t="shared" si="89"/>
        <v>0.67500000000000004</v>
      </c>
      <c r="H35" s="10">
        <f t="shared" si="89"/>
        <v>0.37795275590551142</v>
      </c>
      <c r="I35" s="10">
        <f t="shared" si="89"/>
        <v>0.44827586206896664</v>
      </c>
      <c r="J35" s="10">
        <f t="shared" si="89"/>
        <v>2.5000000000000626E-2</v>
      </c>
      <c r="K35" s="10">
        <f t="shared" si="89"/>
        <v>0.16666666666666596</v>
      </c>
      <c r="L35" s="10">
        <f>L21/L20</f>
        <v>0.36956521739130294</v>
      </c>
      <c r="M35" s="10">
        <f t="shared" ref="M35:N35" si="90">M21/M20</f>
        <v>0.2</v>
      </c>
      <c r="N35" s="10">
        <f t="shared" si="90"/>
        <v>0.2</v>
      </c>
      <c r="P35" s="10">
        <f t="shared" ref="P35:T35" si="91">P21/P20</f>
        <v>0.30573248407643366</v>
      </c>
      <c r="Q35" s="10">
        <f t="shared" si="91"/>
        <v>-10.808823529411658</v>
      </c>
      <c r="R35" s="10">
        <f t="shared" si="91"/>
        <v>0.88636363636362914</v>
      </c>
      <c r="S35" s="10">
        <f t="shared" si="91"/>
        <v>-6.0606060606060597E-3</v>
      </c>
      <c r="T35" s="10">
        <f t="shared" si="91"/>
        <v>0.7837837837837921</v>
      </c>
      <c r="U35" s="10">
        <f>U21/U20</f>
        <v>0.38490566037735929</v>
      </c>
      <c r="V35" s="10">
        <f t="shared" ref="V35:AF35" si="92">V21/V20</f>
        <v>0.22333517162630037</v>
      </c>
      <c r="W35" s="10">
        <f t="shared" si="92"/>
        <v>0.2</v>
      </c>
      <c r="X35" s="10">
        <f t="shared" si="92"/>
        <v>0.2</v>
      </c>
      <c r="Y35" s="10">
        <f t="shared" si="92"/>
        <v>0.2</v>
      </c>
      <c r="Z35" s="10">
        <f t="shared" si="92"/>
        <v>0.2</v>
      </c>
      <c r="AA35" s="10">
        <f t="shared" si="92"/>
        <v>0.2</v>
      </c>
      <c r="AB35" s="10">
        <f t="shared" si="92"/>
        <v>0.2</v>
      </c>
      <c r="AC35" s="10">
        <f t="shared" si="92"/>
        <v>0.2</v>
      </c>
      <c r="AD35" s="10">
        <f t="shared" si="92"/>
        <v>0.2</v>
      </c>
      <c r="AE35" s="10">
        <f t="shared" si="92"/>
        <v>0.2</v>
      </c>
      <c r="AF35" s="10">
        <f t="shared" si="92"/>
        <v>0.2</v>
      </c>
      <c r="AH35" s="2" t="s">
        <v>59</v>
      </c>
      <c r="AI35" s="11">
        <f>AI33/AI34-1</f>
        <v>-0.89146488331653073</v>
      </c>
    </row>
    <row r="36" spans="2:35">
      <c r="B36" s="1" t="s">
        <v>51</v>
      </c>
      <c r="E36" s="10">
        <f t="shared" ref="E36:K36" si="93">E22/E7</f>
        <v>1.092498179169713E-2</v>
      </c>
      <c r="F36" s="10"/>
      <c r="G36" s="10">
        <f t="shared" si="93"/>
        <v>4.6897546897546891E-3</v>
      </c>
      <c r="H36" s="10">
        <f t="shared" si="93"/>
        <v>2.6324558480506542E-2</v>
      </c>
      <c r="I36" s="10">
        <f t="shared" si="93"/>
        <v>1.1598405219282296E-2</v>
      </c>
      <c r="J36" s="10">
        <f t="shared" si="93"/>
        <v>1.377605086541818E-2</v>
      </c>
      <c r="K36" s="10">
        <f t="shared" si="93"/>
        <v>1.4871116986120363E-2</v>
      </c>
      <c r="L36" s="10">
        <f>L22/L7</f>
        <v>8.25035561877672E-3</v>
      </c>
      <c r="M36" s="10">
        <f t="shared" ref="M36:N36" si="94">M22/M7</f>
        <v>1.7806100601999972E-2</v>
      </c>
      <c r="N36" s="10">
        <f t="shared" si="94"/>
        <v>2.1216341108676821E-2</v>
      </c>
      <c r="P36" s="10">
        <f t="shared" ref="P36:T36" si="95">P22/P7</f>
        <v>1.519163763066198E-2</v>
      </c>
      <c r="Q36" s="10">
        <f t="shared" si="95"/>
        <v>0.10739601444429593</v>
      </c>
      <c r="R36" s="10">
        <f t="shared" si="95"/>
        <v>6.1614294516332225E-4</v>
      </c>
      <c r="S36" s="10">
        <f t="shared" si="95"/>
        <v>-3.6958699766225102E-2</v>
      </c>
      <c r="T36" s="10">
        <f t="shared" si="95"/>
        <v>2.3141452126119772E-3</v>
      </c>
      <c r="U36" s="10">
        <f>U22/U7</f>
        <v>1.4344803308985254E-2</v>
      </c>
      <c r="V36" s="10">
        <f t="shared" ref="V36:AF36" si="96">V22/V7</f>
        <v>1.5389684111558744E-2</v>
      </c>
      <c r="W36" s="10">
        <f t="shared" si="96"/>
        <v>3.330271911648347E-2</v>
      </c>
      <c r="X36" s="10">
        <f t="shared" si="96"/>
        <v>4.6855434662028572E-2</v>
      </c>
      <c r="Y36" s="10">
        <f t="shared" si="96"/>
        <v>5.3918775820677813E-2</v>
      </c>
      <c r="Z36" s="10">
        <f t="shared" si="96"/>
        <v>5.7555111059692285E-2</v>
      </c>
      <c r="AA36" s="10">
        <f t="shared" si="96"/>
        <v>6.2329871903877995E-2</v>
      </c>
      <c r="AB36" s="10">
        <f t="shared" si="96"/>
        <v>6.6985931429479201E-2</v>
      </c>
      <c r="AC36" s="10">
        <f t="shared" si="96"/>
        <v>7.1523874058311246E-2</v>
      </c>
      <c r="AD36" s="10">
        <f t="shared" si="96"/>
        <v>7.5944414557615428E-2</v>
      </c>
      <c r="AE36" s="10">
        <f t="shared" si="96"/>
        <v>8.0248393367117504E-2</v>
      </c>
      <c r="AF36" s="10">
        <f t="shared" si="96"/>
        <v>8.4436771551936213E-2</v>
      </c>
      <c r="AH36" s="1" t="s">
        <v>60</v>
      </c>
      <c r="AI36" s="7" t="s">
        <v>61</v>
      </c>
    </row>
    <row r="39" spans="2:35">
      <c r="B39" s="1" t="s">
        <v>55</v>
      </c>
    </row>
    <row r="40" spans="2:35">
      <c r="B40" s="1" t="s">
        <v>4</v>
      </c>
    </row>
    <row r="41" spans="2:35">
      <c r="B41" s="1" t="s">
        <v>99</v>
      </c>
    </row>
    <row r="43" spans="2:35" s="34" customFormat="1">
      <c r="B43" s="34" t="s">
        <v>100</v>
      </c>
      <c r="J43" s="34">
        <v>1950.9</v>
      </c>
      <c r="L43" s="34">
        <v>2585.6999999999998</v>
      </c>
    </row>
    <row r="45" spans="2:35">
      <c r="B45" s="1" t="s">
        <v>101</v>
      </c>
      <c r="L45" s="35">
        <f>Main!D9/Model!L43</f>
        <v>6.7830575859535163</v>
      </c>
    </row>
    <row r="46" spans="2:35">
      <c r="B46" s="1" t="s">
        <v>102</v>
      </c>
      <c r="L46" s="10">
        <f>L43/Main!D9-1</f>
        <v>-0.85257385960118948</v>
      </c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D307-0F41-4E95-B1D6-BCF6AF665BB0}">
  <dimension ref="B2:L40"/>
  <sheetViews>
    <sheetView workbookViewId="0">
      <selection activeCell="G17" sqref="G17"/>
    </sheetView>
  </sheetViews>
  <sheetFormatPr defaultRowHeight="14.4"/>
  <cols>
    <col min="1" max="16384" width="8.88671875" style="1"/>
  </cols>
  <sheetData>
    <row r="2" spans="2:12">
      <c r="B2" s="12"/>
      <c r="E2" s="15" t="s">
        <v>93</v>
      </c>
    </row>
    <row r="3" spans="2:12">
      <c r="B3" s="12"/>
      <c r="E3" s="18"/>
      <c r="F3" s="18"/>
      <c r="G3" s="18"/>
      <c r="H3" s="18"/>
      <c r="I3" s="18"/>
      <c r="J3" s="18"/>
      <c r="K3" s="18"/>
    </row>
    <row r="4" spans="2:12">
      <c r="B4" s="12"/>
      <c r="D4" s="16"/>
      <c r="E4" s="30" t="s">
        <v>94</v>
      </c>
      <c r="F4" s="28">
        <v>2022</v>
      </c>
      <c r="G4" s="28">
        <v>2023</v>
      </c>
      <c r="H4" s="28">
        <v>2024</v>
      </c>
      <c r="I4" s="28">
        <v>2025</v>
      </c>
      <c r="J4" s="28">
        <v>2026</v>
      </c>
      <c r="K4" s="29">
        <v>2027</v>
      </c>
      <c r="L4" s="17"/>
    </row>
    <row r="5" spans="2:12">
      <c r="B5" s="12"/>
      <c r="D5" s="16"/>
      <c r="E5" s="31" t="s">
        <v>95</v>
      </c>
      <c r="F5" s="25" t="s">
        <v>64</v>
      </c>
      <c r="G5" s="25" t="s">
        <v>69</v>
      </c>
      <c r="H5" s="25" t="s">
        <v>74</v>
      </c>
      <c r="I5" s="25" t="s">
        <v>79</v>
      </c>
      <c r="J5" s="26" t="s">
        <v>84</v>
      </c>
      <c r="K5" s="27" t="s">
        <v>89</v>
      </c>
      <c r="L5" s="17"/>
    </row>
    <row r="6" spans="2:12">
      <c r="B6" s="12"/>
      <c r="D6" s="16"/>
      <c r="E6" s="32" t="s">
        <v>96</v>
      </c>
      <c r="F6" s="14" t="s">
        <v>65</v>
      </c>
      <c r="G6" s="14" t="s">
        <v>70</v>
      </c>
      <c r="H6" s="14" t="s">
        <v>75</v>
      </c>
      <c r="I6" s="14" t="s">
        <v>80</v>
      </c>
      <c r="J6" s="13" t="s">
        <v>85</v>
      </c>
      <c r="K6" s="20" t="s">
        <v>90</v>
      </c>
      <c r="L6" s="17"/>
    </row>
    <row r="7" spans="2:12">
      <c r="B7" s="12"/>
      <c r="D7" s="16"/>
      <c r="E7" s="32" t="s">
        <v>97</v>
      </c>
      <c r="F7" s="14" t="s">
        <v>66</v>
      </c>
      <c r="G7" s="14" t="s">
        <v>71</v>
      </c>
      <c r="H7" s="14" t="s">
        <v>76</v>
      </c>
      <c r="I7" s="13" t="s">
        <v>81</v>
      </c>
      <c r="J7" s="13" t="s">
        <v>86</v>
      </c>
      <c r="K7" s="20" t="s">
        <v>91</v>
      </c>
      <c r="L7" s="17"/>
    </row>
    <row r="8" spans="2:12">
      <c r="B8" s="12"/>
      <c r="D8" s="16"/>
      <c r="E8" s="32" t="s">
        <v>98</v>
      </c>
      <c r="F8" s="14" t="s">
        <v>67</v>
      </c>
      <c r="G8" s="14" t="s">
        <v>72</v>
      </c>
      <c r="H8" s="14" t="s">
        <v>77</v>
      </c>
      <c r="I8" s="13" t="s">
        <v>82</v>
      </c>
      <c r="J8" s="13" t="s">
        <v>87</v>
      </c>
      <c r="K8" s="21" t="s">
        <v>92</v>
      </c>
      <c r="L8" s="17"/>
    </row>
    <row r="9" spans="2:12">
      <c r="B9" s="12"/>
      <c r="D9" s="16"/>
      <c r="E9" s="32"/>
      <c r="F9" s="14"/>
      <c r="G9" s="14"/>
      <c r="H9" s="14"/>
      <c r="I9" s="13"/>
      <c r="J9" s="13"/>
      <c r="K9" s="21"/>
      <c r="L9" s="17"/>
    </row>
    <row r="10" spans="2:12">
      <c r="B10" s="12"/>
      <c r="D10" s="16"/>
      <c r="E10" s="33" t="s">
        <v>63</v>
      </c>
      <c r="F10" s="22" t="s">
        <v>68</v>
      </c>
      <c r="G10" s="22" t="s">
        <v>73</v>
      </c>
      <c r="H10" s="22" t="s">
        <v>78</v>
      </c>
      <c r="I10" s="23" t="s">
        <v>83</v>
      </c>
      <c r="J10" s="23" t="s">
        <v>88</v>
      </c>
      <c r="K10" s="24" t="s">
        <v>92</v>
      </c>
      <c r="L10" s="17"/>
    </row>
    <row r="11" spans="2:12">
      <c r="B11" s="12"/>
      <c r="E11" s="19"/>
      <c r="F11" s="19"/>
      <c r="G11" s="19"/>
      <c r="H11" s="19"/>
      <c r="I11" s="19"/>
      <c r="J11" s="19"/>
      <c r="K11" s="19"/>
    </row>
    <row r="12" spans="2:12">
      <c r="B12" s="12"/>
    </row>
    <row r="13" spans="2:12">
      <c r="B13" s="12"/>
    </row>
    <row r="14" spans="2:12">
      <c r="B14" s="12"/>
    </row>
    <row r="15" spans="2:12">
      <c r="B15" s="12"/>
    </row>
    <row r="16" spans="2:12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Model</vt:lpstr>
      <vt:lpstr>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2025-09-04T12:08:37Z</dcterms:created>
  <dcterms:modified xsi:type="dcterms:W3CDTF">2025-10-09T14:00:08Z</dcterms:modified>
</cp:coreProperties>
</file>