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2A753108-FF2F-4C39-A45D-F9BB86579005}" xr6:coauthVersionLast="47" xr6:coauthVersionMax="47" xr10:uidLastSave="{00000000-0000-0000-0000-000000000000}"/>
  <bookViews>
    <workbookView xWindow="-108" yWindow="-108" windowWidth="23256" windowHeight="12576" activeTab="1" xr2:uid="{4FA626FF-4A3D-49DE-9837-5D4007C2FA44}"/>
  </bookViews>
  <sheets>
    <sheet name="Main" sheetId="1" r:id="rId1"/>
    <sheet name="Model" sheetId="2" r:id="rId2"/>
    <sheet name="Forecasts" sheetId="3" r:id="rId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6" i="2" l="1"/>
  <c r="J15" i="2"/>
  <c r="J14" i="2"/>
  <c r="J17" i="2" s="1"/>
  <c r="J12" i="2"/>
  <c r="J11" i="2"/>
  <c r="J13" i="2" s="1"/>
  <c r="J10" i="2"/>
  <c r="N16" i="2"/>
  <c r="N17" i="2" s="1"/>
  <c r="N15" i="2"/>
  <c r="N14" i="2"/>
  <c r="N12" i="2"/>
  <c r="N11" i="2"/>
  <c r="N13" i="2" s="1"/>
  <c r="N10" i="2"/>
  <c r="Z17" i="2"/>
  <c r="Z13" i="2"/>
  <c r="AD23" i="2"/>
  <c r="AE23" i="2" s="1"/>
  <c r="AF23" i="2" s="1"/>
  <c r="AG23" i="2" s="1"/>
  <c r="AH23" i="2" s="1"/>
  <c r="AI23" i="2" s="1"/>
  <c r="AJ23" i="2" s="1"/>
  <c r="AC26" i="2"/>
  <c r="AC22" i="2"/>
  <c r="AC23" i="2"/>
  <c r="AD31" i="2"/>
  <c r="AC31" i="2"/>
  <c r="AB31" i="2"/>
  <c r="AA31" i="2"/>
  <c r="Q24" i="2"/>
  <c r="AA24" i="2" s="1"/>
  <c r="Q48" i="2"/>
  <c r="R24" i="2"/>
  <c r="R48" i="2" s="1"/>
  <c r="P24" i="2"/>
  <c r="P53" i="2"/>
  <c r="O53" i="2"/>
  <c r="R52" i="2"/>
  <c r="Q52" i="2"/>
  <c r="P52" i="2"/>
  <c r="O52" i="2"/>
  <c r="P51" i="2"/>
  <c r="O51" i="2"/>
  <c r="R50" i="2"/>
  <c r="Q50" i="2"/>
  <c r="P50" i="2"/>
  <c r="O50" i="2"/>
  <c r="R49" i="2"/>
  <c r="Q49" i="2"/>
  <c r="P49" i="2"/>
  <c r="O49" i="2"/>
  <c r="P48" i="2"/>
  <c r="O48" i="2"/>
  <c r="R47" i="2"/>
  <c r="Q47" i="2"/>
  <c r="P47" i="2"/>
  <c r="O47" i="2"/>
  <c r="R46" i="2"/>
  <c r="Q46" i="2"/>
  <c r="P46" i="2"/>
  <c r="O46" i="2"/>
  <c r="R45" i="2"/>
  <c r="P45" i="2"/>
  <c r="O45" i="2"/>
  <c r="R44" i="2"/>
  <c r="Q44" i="2"/>
  <c r="P44" i="2"/>
  <c r="O44" i="2"/>
  <c r="R43" i="2"/>
  <c r="Q43" i="2"/>
  <c r="P43" i="2"/>
  <c r="O43" i="2"/>
  <c r="N38" i="2"/>
  <c r="N36" i="2"/>
  <c r="N35" i="2"/>
  <c r="N31" i="2"/>
  <c r="N30" i="2"/>
  <c r="N29" i="2"/>
  <c r="N26" i="2"/>
  <c r="N25" i="2"/>
  <c r="N23" i="2"/>
  <c r="D6" i="1"/>
  <c r="AJ40" i="2"/>
  <c r="AI40" i="2"/>
  <c r="AH40" i="2"/>
  <c r="AG40" i="2"/>
  <c r="AF40" i="2"/>
  <c r="AE40" i="2"/>
  <c r="AD40" i="2"/>
  <c r="AC40" i="2"/>
  <c r="AB40" i="2"/>
  <c r="AA40" i="2"/>
  <c r="Z40" i="2"/>
  <c r="N40" i="2"/>
  <c r="D4" i="1"/>
  <c r="W17" i="2"/>
  <c r="W13" i="2"/>
  <c r="X17" i="2"/>
  <c r="X13" i="2"/>
  <c r="Y17" i="2"/>
  <c r="Y13" i="2"/>
  <c r="Y6" i="2"/>
  <c r="G17" i="2"/>
  <c r="G13" i="2"/>
  <c r="K17" i="2"/>
  <c r="K13" i="2"/>
  <c r="H17" i="2"/>
  <c r="H13" i="2"/>
  <c r="L17" i="2"/>
  <c r="L13" i="2"/>
  <c r="I13" i="2"/>
  <c r="I17" i="2"/>
  <c r="I18" i="2"/>
  <c r="M17" i="2"/>
  <c r="M18" i="2" s="1"/>
  <c r="M13" i="2"/>
  <c r="M40" i="2"/>
  <c r="D8" i="1"/>
  <c r="AM48" i="2" s="1"/>
  <c r="M43" i="2"/>
  <c r="M49" i="2"/>
  <c r="AM51" i="2"/>
  <c r="M33" i="2"/>
  <c r="M50" i="2"/>
  <c r="AA35" i="2"/>
  <c r="AB35" i="2" s="1"/>
  <c r="AC35" i="2" s="1"/>
  <c r="AD35" i="2" s="1"/>
  <c r="AE35" i="2" s="1"/>
  <c r="AF35" i="2" s="1"/>
  <c r="AG35" i="2" s="1"/>
  <c r="AH35" i="2" s="1"/>
  <c r="AI35" i="2" s="1"/>
  <c r="AJ35" i="2" s="1"/>
  <c r="Z32" i="2"/>
  <c r="Y47" i="2"/>
  <c r="X47" i="2"/>
  <c r="W47" i="2"/>
  <c r="V47" i="2"/>
  <c r="U47" i="2"/>
  <c r="T47" i="2"/>
  <c r="Y46" i="2"/>
  <c r="X46" i="2"/>
  <c r="W46" i="2"/>
  <c r="V46" i="2"/>
  <c r="U46" i="2"/>
  <c r="T46" i="2"/>
  <c r="K47" i="2"/>
  <c r="I47" i="2"/>
  <c r="H47" i="2"/>
  <c r="G47" i="2"/>
  <c r="K46" i="2"/>
  <c r="I46" i="2"/>
  <c r="H46" i="2"/>
  <c r="G46" i="2"/>
  <c r="L47" i="2"/>
  <c r="L46" i="2"/>
  <c r="X50" i="2"/>
  <c r="W50" i="2"/>
  <c r="V50" i="2"/>
  <c r="U50" i="2"/>
  <c r="X49" i="2"/>
  <c r="W49" i="2"/>
  <c r="V49" i="2"/>
  <c r="U49" i="2"/>
  <c r="X44" i="2"/>
  <c r="W44" i="2"/>
  <c r="V44" i="2"/>
  <c r="U44" i="2"/>
  <c r="X43" i="2"/>
  <c r="W43" i="2"/>
  <c r="V43" i="2"/>
  <c r="U43" i="2"/>
  <c r="Y50" i="2"/>
  <c r="Y49" i="2"/>
  <c r="Y44" i="2"/>
  <c r="Y43" i="2"/>
  <c r="T40" i="2"/>
  <c r="T33" i="2"/>
  <c r="T27" i="2"/>
  <c r="T24" i="2"/>
  <c r="U40" i="2"/>
  <c r="U33" i="2"/>
  <c r="U27" i="2"/>
  <c r="U24" i="2"/>
  <c r="V40" i="2"/>
  <c r="V33" i="2"/>
  <c r="V27" i="2"/>
  <c r="V24" i="2"/>
  <c r="K50" i="2"/>
  <c r="I50" i="2"/>
  <c r="K49" i="2"/>
  <c r="I49" i="2"/>
  <c r="E47" i="2"/>
  <c r="E46" i="2"/>
  <c r="K44" i="2"/>
  <c r="I44" i="2"/>
  <c r="K43" i="2"/>
  <c r="I43" i="2"/>
  <c r="L50" i="2"/>
  <c r="L49" i="2"/>
  <c r="L44" i="2"/>
  <c r="L43" i="2"/>
  <c r="J38" i="2"/>
  <c r="J36" i="2"/>
  <c r="J35" i="2"/>
  <c r="J32" i="2"/>
  <c r="J31" i="2"/>
  <c r="N50" i="2" s="1"/>
  <c r="J30" i="2"/>
  <c r="J29" i="2"/>
  <c r="J26" i="2"/>
  <c r="J25" i="2"/>
  <c r="J23" i="2"/>
  <c r="J22" i="2"/>
  <c r="J40" i="2"/>
  <c r="E40" i="2"/>
  <c r="E33" i="2"/>
  <c r="E27" i="2"/>
  <c r="E24" i="2"/>
  <c r="I40" i="2"/>
  <c r="I33" i="2"/>
  <c r="I27" i="2"/>
  <c r="I24" i="2"/>
  <c r="W36" i="2"/>
  <c r="W40" i="2"/>
  <c r="W33" i="2"/>
  <c r="W27" i="2"/>
  <c r="W24" i="2"/>
  <c r="X40" i="2"/>
  <c r="X33" i="2"/>
  <c r="X27" i="2"/>
  <c r="X24" i="2"/>
  <c r="Y33" i="2"/>
  <c r="L33" i="2"/>
  <c r="K33" i="2"/>
  <c r="H33" i="2"/>
  <c r="G33" i="2"/>
  <c r="Y40" i="2"/>
  <c r="Y27" i="2"/>
  <c r="Y24" i="2"/>
  <c r="Y45" i="2" s="1"/>
  <c r="G40" i="2"/>
  <c r="G27" i="2"/>
  <c r="G24" i="2"/>
  <c r="K40" i="2"/>
  <c r="K27" i="2"/>
  <c r="K24" i="2"/>
  <c r="H40" i="2"/>
  <c r="H27" i="2"/>
  <c r="H24" i="2"/>
  <c r="L40" i="2"/>
  <c r="L27" i="2"/>
  <c r="L24" i="2"/>
  <c r="D5" i="1"/>
  <c r="F3" i="1"/>
  <c r="J18" i="2" l="1"/>
  <c r="N18" i="2"/>
  <c r="Z18" i="2"/>
  <c r="AE26" i="2"/>
  <c r="AD26" i="2"/>
  <c r="R53" i="2"/>
  <c r="R51" i="2"/>
  <c r="Q45" i="2"/>
  <c r="Q51" i="2"/>
  <c r="Q53" i="2"/>
  <c r="W18" i="2"/>
  <c r="X18" i="2"/>
  <c r="Y18" i="2"/>
  <c r="H18" i="2"/>
  <c r="G18" i="2"/>
  <c r="K18" i="2"/>
  <c r="L18" i="2"/>
  <c r="W45" i="2"/>
  <c r="L28" i="2"/>
  <c r="L48" i="2" s="1"/>
  <c r="J27" i="2"/>
  <c r="X45" i="2"/>
  <c r="U45" i="2"/>
  <c r="I45" i="2"/>
  <c r="K45" i="2"/>
  <c r="N49" i="2"/>
  <c r="D9" i="1"/>
  <c r="M24" i="2"/>
  <c r="M45" i="2" s="1"/>
  <c r="J46" i="2"/>
  <c r="V45" i="2"/>
  <c r="M46" i="2"/>
  <c r="N47" i="2"/>
  <c r="N44" i="2"/>
  <c r="J24" i="2"/>
  <c r="L45" i="2"/>
  <c r="J47" i="2"/>
  <c r="AA23" i="2"/>
  <c r="AB23" i="2" s="1"/>
  <c r="M47" i="2"/>
  <c r="J33" i="2"/>
  <c r="M44" i="2"/>
  <c r="N33" i="2"/>
  <c r="AA29" i="2"/>
  <c r="AB29" i="2" s="1"/>
  <c r="AC29" i="2" s="1"/>
  <c r="AD29" i="2" s="1"/>
  <c r="AE29" i="2" s="1"/>
  <c r="AF29" i="2" s="1"/>
  <c r="AG29" i="2" s="1"/>
  <c r="AH29" i="2" s="1"/>
  <c r="AI29" i="2" s="1"/>
  <c r="AJ29" i="2" s="1"/>
  <c r="Z50" i="2"/>
  <c r="T28" i="2"/>
  <c r="U28" i="2"/>
  <c r="V28" i="2"/>
  <c r="E28" i="2"/>
  <c r="E34" i="2" s="1"/>
  <c r="I28" i="2"/>
  <c r="W28" i="2"/>
  <c r="X28" i="2"/>
  <c r="Y28" i="2"/>
  <c r="Y48" i="2" s="1"/>
  <c r="G28" i="2"/>
  <c r="G48" i="2" s="1"/>
  <c r="K28" i="2"/>
  <c r="K48" i="2" s="1"/>
  <c r="H28" i="2"/>
  <c r="H48" i="2" s="1"/>
  <c r="AF26" i="2" l="1"/>
  <c r="Z63" i="2"/>
  <c r="Z62" i="2"/>
  <c r="L34" i="2"/>
  <c r="L37" i="2" s="1"/>
  <c r="J28" i="2"/>
  <c r="J48" i="2" s="1"/>
  <c r="Z44" i="2"/>
  <c r="M27" i="2"/>
  <c r="M28" i="2" s="1"/>
  <c r="M48" i="2" s="1"/>
  <c r="T34" i="2"/>
  <c r="T48" i="2"/>
  <c r="W34" i="2"/>
  <c r="W48" i="2"/>
  <c r="AB50" i="2"/>
  <c r="E37" i="2"/>
  <c r="E51" i="2"/>
  <c r="X34" i="2"/>
  <c r="X48" i="2"/>
  <c r="I34" i="2"/>
  <c r="I48" i="2"/>
  <c r="AA44" i="2"/>
  <c r="AA50" i="2"/>
  <c r="N27" i="2"/>
  <c r="V34" i="2"/>
  <c r="V48" i="2"/>
  <c r="U34" i="2"/>
  <c r="U48" i="2"/>
  <c r="Z49" i="2"/>
  <c r="Z33" i="2"/>
  <c r="AA49" i="2"/>
  <c r="H34" i="2"/>
  <c r="K34" i="2"/>
  <c r="G34" i="2"/>
  <c r="Y34" i="2"/>
  <c r="AG26" i="2" l="1"/>
  <c r="L51" i="2"/>
  <c r="J34" i="2"/>
  <c r="J37" i="2" s="1"/>
  <c r="M34" i="2"/>
  <c r="M51" i="2" s="1"/>
  <c r="W37" i="2"/>
  <c r="W51" i="2"/>
  <c r="K37" i="2"/>
  <c r="K51" i="2"/>
  <c r="AA26" i="2"/>
  <c r="AA47" i="2" s="1"/>
  <c r="Z27" i="2"/>
  <c r="Z47" i="2"/>
  <c r="V37" i="2"/>
  <c r="V51" i="2"/>
  <c r="T37" i="2"/>
  <c r="T51" i="2"/>
  <c r="H37" i="2"/>
  <c r="H51" i="2"/>
  <c r="E39" i="2"/>
  <c r="E52" i="2"/>
  <c r="I37" i="2"/>
  <c r="I51" i="2"/>
  <c r="AC50" i="2"/>
  <c r="Y37" i="2"/>
  <c r="Y51" i="2"/>
  <c r="G37" i="2"/>
  <c r="G51" i="2"/>
  <c r="X37" i="2"/>
  <c r="X51" i="2"/>
  <c r="U37" i="2"/>
  <c r="U51" i="2"/>
  <c r="AA33" i="2"/>
  <c r="L39" i="2"/>
  <c r="L52" i="2"/>
  <c r="AH26" i="2" l="1"/>
  <c r="J51" i="2"/>
  <c r="M37" i="2"/>
  <c r="M39" i="2" s="1"/>
  <c r="E41" i="2"/>
  <c r="E53" i="2"/>
  <c r="J52" i="2"/>
  <c r="J39" i="2"/>
  <c r="J53" i="2" s="1"/>
  <c r="T39" i="2"/>
  <c r="T52" i="2"/>
  <c r="Y39" i="2"/>
  <c r="Y52" i="2"/>
  <c r="U39" i="2"/>
  <c r="U52" i="2"/>
  <c r="I39" i="2"/>
  <c r="I52" i="2"/>
  <c r="W39" i="2"/>
  <c r="W52" i="2"/>
  <c r="H39" i="2"/>
  <c r="H52" i="2"/>
  <c r="V39" i="2"/>
  <c r="V52" i="2"/>
  <c r="K39" i="2"/>
  <c r="K52" i="2"/>
  <c r="AD50" i="2"/>
  <c r="AE31" i="2"/>
  <c r="X39" i="2"/>
  <c r="X52" i="2"/>
  <c r="G39" i="2"/>
  <c r="G52" i="2"/>
  <c r="AB44" i="2"/>
  <c r="AB26" i="2"/>
  <c r="AB49" i="2"/>
  <c r="AB33" i="2"/>
  <c r="L41" i="2"/>
  <c r="L53" i="2"/>
  <c r="AJ26" i="2" l="1"/>
  <c r="AI26" i="2"/>
  <c r="J41" i="2"/>
  <c r="AB47" i="2"/>
  <c r="U41" i="2"/>
  <c r="U53" i="2"/>
  <c r="X41" i="2"/>
  <c r="X53" i="2"/>
  <c r="H41" i="2"/>
  <c r="H53" i="2"/>
  <c r="Y41" i="2"/>
  <c r="Y53" i="2"/>
  <c r="G41" i="2"/>
  <c r="G53" i="2"/>
  <c r="W41" i="2"/>
  <c r="W53" i="2"/>
  <c r="T41" i="2"/>
  <c r="T53" i="2"/>
  <c r="V41" i="2"/>
  <c r="V53" i="2"/>
  <c r="AC44" i="2"/>
  <c r="AF31" i="2"/>
  <c r="AE50" i="2"/>
  <c r="K41" i="2"/>
  <c r="K53" i="2"/>
  <c r="I41" i="2"/>
  <c r="I53" i="2"/>
  <c r="AC49" i="2"/>
  <c r="AC33" i="2"/>
  <c r="M41" i="2"/>
  <c r="M53" i="2"/>
  <c r="M52" i="2"/>
  <c r="AC47" i="2" l="1"/>
  <c r="AD44" i="2"/>
  <c r="AG31" i="2"/>
  <c r="AF50" i="2"/>
  <c r="AD49" i="2"/>
  <c r="AD33" i="2"/>
  <c r="AH31" i="2" l="1"/>
  <c r="AG50" i="2"/>
  <c r="AE44" i="2"/>
  <c r="AD47" i="2"/>
  <c r="AE49" i="2"/>
  <c r="AE33" i="2"/>
  <c r="AE47" i="2" l="1"/>
  <c r="AH50" i="2"/>
  <c r="AI31" i="2"/>
  <c r="AF44" i="2"/>
  <c r="AF49" i="2"/>
  <c r="AF33" i="2"/>
  <c r="AG44" i="2" l="1"/>
  <c r="AI50" i="2"/>
  <c r="AJ31" i="2"/>
  <c r="AJ50" i="2" s="1"/>
  <c r="AF47" i="2"/>
  <c r="AG33" i="2"/>
  <c r="AG49" i="2"/>
  <c r="AG47" i="2" l="1"/>
  <c r="AH44" i="2"/>
  <c r="AH49" i="2"/>
  <c r="AH33" i="2"/>
  <c r="AH47" i="2" l="1"/>
  <c r="AI44" i="2"/>
  <c r="AI33" i="2"/>
  <c r="AI49" i="2"/>
  <c r="AI47" i="2" l="1"/>
  <c r="AJ44" i="2"/>
  <c r="AJ33" i="2"/>
  <c r="AJ49" i="2"/>
  <c r="AJ47" i="2" l="1"/>
  <c r="Z24" i="2" l="1"/>
  <c r="Z45" i="2" s="1"/>
  <c r="Z43" i="2"/>
  <c r="Z46" i="2"/>
  <c r="N22" i="2"/>
  <c r="N24" i="2" s="1"/>
  <c r="AA22" i="2"/>
  <c r="AB22" i="2" s="1"/>
  <c r="AB25" i="2" l="1"/>
  <c r="AB27" i="2" s="1"/>
  <c r="AB46" i="2"/>
  <c r="AB43" i="2"/>
  <c r="AB24" i="2"/>
  <c r="N28" i="2"/>
  <c r="N45" i="2"/>
  <c r="N46" i="2"/>
  <c r="AA43" i="2"/>
  <c r="AA25" i="2"/>
  <c r="AA27" i="2" s="1"/>
  <c r="Z28" i="2"/>
  <c r="N43" i="2"/>
  <c r="Z48" i="2" l="1"/>
  <c r="Z34" i="2"/>
  <c r="N48" i="2"/>
  <c r="N34" i="2"/>
  <c r="AB28" i="2"/>
  <c r="AB45" i="2"/>
  <c r="AA46" i="2"/>
  <c r="AA45" i="2"/>
  <c r="AA28" i="2"/>
  <c r="AC25" i="2"/>
  <c r="AC27" i="2" s="1"/>
  <c r="AC24" i="2"/>
  <c r="AC46" i="2"/>
  <c r="AD22" i="2"/>
  <c r="AC43" i="2"/>
  <c r="AD43" i="2" l="1"/>
  <c r="AE22" i="2"/>
  <c r="AD25" i="2"/>
  <c r="AD27" i="2" s="1"/>
  <c r="AD46" i="2"/>
  <c r="AD24" i="2"/>
  <c r="N51" i="2"/>
  <c r="N37" i="2"/>
  <c r="AB48" i="2"/>
  <c r="AB34" i="2"/>
  <c r="AA34" i="2"/>
  <c r="AA48" i="2"/>
  <c r="AC28" i="2"/>
  <c r="AC45" i="2"/>
  <c r="Z37" i="2"/>
  <c r="Z51" i="2"/>
  <c r="N52" i="2" l="1"/>
  <c r="Z52" i="2"/>
  <c r="Z39" i="2"/>
  <c r="AC34" i="2"/>
  <c r="AC48" i="2"/>
  <c r="AA37" i="2"/>
  <c r="AA51" i="2"/>
  <c r="AE24" i="2"/>
  <c r="AE25" i="2"/>
  <c r="AE27" i="2" s="1"/>
  <c r="AF22" i="2"/>
  <c r="AE43" i="2"/>
  <c r="AE46" i="2"/>
  <c r="AD28" i="2"/>
  <c r="AD45" i="2"/>
  <c r="AB51" i="2"/>
  <c r="AB37" i="2"/>
  <c r="N39" i="2" l="1"/>
  <c r="N41" i="2" s="1"/>
  <c r="AA38" i="2"/>
  <c r="AA52" i="2" s="1"/>
  <c r="AC37" i="2"/>
  <c r="AC51" i="2"/>
  <c r="AF43" i="2"/>
  <c r="AF24" i="2"/>
  <c r="AF25" i="2"/>
  <c r="AF27" i="2" s="1"/>
  <c r="AG22" i="2"/>
  <c r="N53" i="2"/>
  <c r="AD48" i="2"/>
  <c r="AD34" i="2"/>
  <c r="Z41" i="2"/>
  <c r="Z53" i="2"/>
  <c r="AB38" i="2"/>
  <c r="AB52" i="2" s="1"/>
  <c r="AE28" i="2"/>
  <c r="AE45" i="2"/>
  <c r="AB39" i="2" l="1"/>
  <c r="AB53" i="2" s="1"/>
  <c r="AF28" i="2"/>
  <c r="AF45" i="2"/>
  <c r="AC38" i="2"/>
  <c r="AC52" i="2" s="1"/>
  <c r="AD37" i="2"/>
  <c r="AD51" i="2"/>
  <c r="AF46" i="2"/>
  <c r="AE34" i="2"/>
  <c r="AE48" i="2"/>
  <c r="AG25" i="2"/>
  <c r="AG27" i="2" s="1"/>
  <c r="AH22" i="2"/>
  <c r="AG24" i="2"/>
  <c r="AG46" i="2"/>
  <c r="AG43" i="2"/>
  <c r="AA39" i="2"/>
  <c r="AB41" i="2" l="1"/>
  <c r="AH25" i="2"/>
  <c r="AH27" i="2" s="1"/>
  <c r="AI22" i="2"/>
  <c r="AH43" i="2"/>
  <c r="AH24" i="2"/>
  <c r="AH46" i="2"/>
  <c r="AC39" i="2"/>
  <c r="AG28" i="2"/>
  <c r="AG45" i="2"/>
  <c r="AD38" i="2"/>
  <c r="AD52" i="2" s="1"/>
  <c r="AE51" i="2"/>
  <c r="AE37" i="2"/>
  <c r="AA53" i="2"/>
  <c r="AA41" i="2"/>
  <c r="AF48" i="2"/>
  <c r="AF34" i="2"/>
  <c r="AI24" i="2" l="1"/>
  <c r="AJ22" i="2"/>
  <c r="AI43" i="2"/>
  <c r="AI25" i="2"/>
  <c r="AI27" i="2" s="1"/>
  <c r="AG48" i="2"/>
  <c r="AG34" i="2"/>
  <c r="AC41" i="2"/>
  <c r="AC53" i="2"/>
  <c r="AE38" i="2"/>
  <c r="AE52" i="2" s="1"/>
  <c r="AH28" i="2"/>
  <c r="AH45" i="2"/>
  <c r="AF37" i="2"/>
  <c r="AF51" i="2"/>
  <c r="AD39" i="2"/>
  <c r="AE39" i="2" l="1"/>
  <c r="AE41" i="2" s="1"/>
  <c r="AF38" i="2"/>
  <c r="AF52" i="2" s="1"/>
  <c r="AI46" i="2"/>
  <c r="AG37" i="2"/>
  <c r="AG51" i="2"/>
  <c r="AH48" i="2"/>
  <c r="AH34" i="2"/>
  <c r="AJ24" i="2"/>
  <c r="AJ25" i="2"/>
  <c r="AJ27" i="2" s="1"/>
  <c r="AJ43" i="2"/>
  <c r="AD41" i="2"/>
  <c r="AD53" i="2"/>
  <c r="AI45" i="2"/>
  <c r="AI28" i="2"/>
  <c r="AE53" i="2" l="1"/>
  <c r="AJ46" i="2"/>
  <c r="AF39" i="2"/>
  <c r="AF53" i="2" s="1"/>
  <c r="AG38" i="2"/>
  <c r="AG52" i="2" s="1"/>
  <c r="AI34" i="2"/>
  <c r="AI48" i="2"/>
  <c r="AF41" i="2"/>
  <c r="AH51" i="2"/>
  <c r="AH37" i="2"/>
  <c r="AJ45" i="2"/>
  <c r="AJ28" i="2"/>
  <c r="AJ34" i="2" l="1"/>
  <c r="AJ48" i="2"/>
  <c r="AH38" i="2"/>
  <c r="AH52" i="2" s="1"/>
  <c r="AI37" i="2"/>
  <c r="AI51" i="2"/>
  <c r="AG39" i="2"/>
  <c r="AG41" i="2" l="1"/>
  <c r="AG53" i="2"/>
  <c r="AI38" i="2"/>
  <c r="AI52" i="2" s="1"/>
  <c r="AI39" i="2"/>
  <c r="AH39" i="2"/>
  <c r="AJ37" i="2"/>
  <c r="AJ51" i="2"/>
  <c r="AJ38" i="2" l="1"/>
  <c r="AJ52" i="2" s="1"/>
  <c r="AH41" i="2"/>
  <c r="AH53" i="2"/>
  <c r="AI53" i="2"/>
  <c r="AI41" i="2"/>
  <c r="AJ39" i="2" l="1"/>
  <c r="AJ41" i="2" l="1"/>
  <c r="AK39" i="2"/>
  <c r="AL39" i="2" s="1"/>
  <c r="AM39" i="2" s="1"/>
  <c r="AN39" i="2" s="1"/>
  <c r="AO39" i="2" s="1"/>
  <c r="AP39" i="2" s="1"/>
  <c r="AQ39" i="2" s="1"/>
  <c r="AR39" i="2" s="1"/>
  <c r="AS39" i="2" s="1"/>
  <c r="AT39" i="2" s="1"/>
  <c r="AU39" i="2" s="1"/>
  <c r="AV39" i="2" s="1"/>
  <c r="AW39" i="2" s="1"/>
  <c r="AX39" i="2" s="1"/>
  <c r="AY39" i="2" s="1"/>
  <c r="AZ39" i="2" s="1"/>
  <c r="BA39" i="2" s="1"/>
  <c r="BB39" i="2" s="1"/>
  <c r="BC39" i="2" s="1"/>
  <c r="BD39" i="2" s="1"/>
  <c r="BE39" i="2" s="1"/>
  <c r="BF39" i="2" s="1"/>
  <c r="BG39" i="2" s="1"/>
  <c r="BH39" i="2" s="1"/>
  <c r="BI39" i="2" s="1"/>
  <c r="BJ39" i="2" s="1"/>
  <c r="BK39" i="2" s="1"/>
  <c r="BL39" i="2" s="1"/>
  <c r="BM39" i="2" s="1"/>
  <c r="BN39" i="2" s="1"/>
  <c r="BO39" i="2" s="1"/>
  <c r="BP39" i="2" s="1"/>
  <c r="BQ39" i="2" s="1"/>
  <c r="BR39" i="2" s="1"/>
  <c r="BS39" i="2" s="1"/>
  <c r="BT39" i="2" s="1"/>
  <c r="BU39" i="2" s="1"/>
  <c r="BV39" i="2" s="1"/>
  <c r="BW39" i="2" s="1"/>
  <c r="BX39" i="2" s="1"/>
  <c r="BY39" i="2" s="1"/>
  <c r="BZ39" i="2" s="1"/>
  <c r="CA39" i="2" s="1"/>
  <c r="CB39" i="2" s="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DO39" i="2" s="1"/>
  <c r="DP39" i="2" s="1"/>
  <c r="DQ39" i="2" s="1"/>
  <c r="DR39" i="2" s="1"/>
  <c r="DS39" i="2" s="1"/>
  <c r="DT39" i="2" s="1"/>
  <c r="DU39" i="2" s="1"/>
  <c r="DV39" i="2" s="1"/>
  <c r="DW39" i="2" s="1"/>
  <c r="DX39" i="2" s="1"/>
  <c r="DY39" i="2" s="1"/>
  <c r="DZ39" i="2" s="1"/>
  <c r="EA39" i="2" s="1"/>
  <c r="EB39" i="2" s="1"/>
  <c r="EC39" i="2" s="1"/>
  <c r="ED39" i="2" s="1"/>
  <c r="EE39" i="2" s="1"/>
  <c r="EF39" i="2" s="1"/>
  <c r="EG39" i="2" s="1"/>
  <c r="EH39" i="2" s="1"/>
  <c r="EI39" i="2" s="1"/>
  <c r="EJ39" i="2" s="1"/>
  <c r="EK39" i="2" s="1"/>
  <c r="AJ53" i="2"/>
  <c r="AM47" i="2" l="1"/>
  <c r="AM49" i="2" s="1"/>
  <c r="AM50" i="2" s="1"/>
  <c r="AM52"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AA24" authorId="0" shapeId="0" xr:uid="{EC71DD73-0C50-4D7C-AED2-E868FC10EC59}">
      <text>
        <r>
          <rPr>
            <b/>
            <sz val="9"/>
            <color indexed="81"/>
            <rFont val="Tahoma"/>
            <family val="2"/>
          </rPr>
          <t>Anton Mniszek:</t>
        </r>
        <r>
          <rPr>
            <sz val="9"/>
            <color indexed="81"/>
            <rFont val="Tahoma"/>
            <family val="2"/>
          </rPr>
          <t xml:space="preserve">
(Q325) we are increasing our full year 2026 organic revenue growth forecast up to 15 percent to 20 percent above our expected increased annual 2025 revenue. Additionally, we are providing a preliminary 2027 organic revenue growth target of 18 percent to 23 percent above this increased 2026 estimated revenue range.
(Q425) 1.595-1.675b for FY26</t>
        </r>
      </text>
    </comment>
    <comment ref="AB24" authorId="0" shapeId="0" xr:uid="{637C303F-91AE-450E-ACF7-2887CCFFC278}">
      <text>
        <r>
          <rPr>
            <b/>
            <sz val="9"/>
            <color indexed="81"/>
            <rFont val="Tahoma"/>
            <family val="2"/>
          </rPr>
          <t>Anton Mniszek:</t>
        </r>
        <r>
          <rPr>
            <sz val="9"/>
            <color indexed="81"/>
            <rFont val="Tahoma"/>
            <family val="2"/>
          </rPr>
          <t xml:space="preserve">
(Q425) We continue to expect Kratos’ Base Case full year 2027 organic revenue growth to be approximately 18 percent to 23 percent above the full year fiscal 2026 revenue forecast we provided today.</t>
        </r>
      </text>
    </comment>
  </commentList>
</comments>
</file>

<file path=xl/sharedStrings.xml><?xml version="1.0" encoding="utf-8"?>
<sst xmlns="http://schemas.openxmlformats.org/spreadsheetml/2006/main" count="129" uniqueCount="117">
  <si>
    <t>KTOS</t>
  </si>
  <si>
    <t>Price</t>
  </si>
  <si>
    <t>Shares</t>
  </si>
  <si>
    <t>MC</t>
  </si>
  <si>
    <t>Cash</t>
  </si>
  <si>
    <t>Debt</t>
  </si>
  <si>
    <t>EV</t>
  </si>
  <si>
    <t>Net Cash</t>
  </si>
  <si>
    <t>Last checked</t>
  </si>
  <si>
    <t>Today</t>
  </si>
  <si>
    <t>Earnings</t>
  </si>
  <si>
    <t>Q225</t>
  </si>
  <si>
    <t>Gross profit</t>
  </si>
  <si>
    <t>Total revenue</t>
  </si>
  <si>
    <t>Service revenue</t>
  </si>
  <si>
    <t>Product revenue</t>
  </si>
  <si>
    <t>Service cost</t>
  </si>
  <si>
    <t>Product cost</t>
  </si>
  <si>
    <t>Total cost of sales</t>
  </si>
  <si>
    <t>SG&amp;A</t>
  </si>
  <si>
    <t>R&amp;D</t>
  </si>
  <si>
    <t>Operating profit</t>
  </si>
  <si>
    <t>Interest income</t>
  </si>
  <si>
    <t>Other income</t>
  </si>
  <si>
    <t>Pretax profit</t>
  </si>
  <si>
    <t>Taxes</t>
  </si>
  <si>
    <t>Net profit</t>
  </si>
  <si>
    <t>EPS</t>
  </si>
  <si>
    <t>Q124</t>
  </si>
  <si>
    <t>Q224</t>
  </si>
  <si>
    <t>Q324</t>
  </si>
  <si>
    <t>Q424</t>
  </si>
  <si>
    <t>Q125</t>
  </si>
  <si>
    <t>Q325</t>
  </si>
  <si>
    <t>Q425</t>
  </si>
  <si>
    <t>Q123</t>
  </si>
  <si>
    <t>Q223</t>
  </si>
  <si>
    <t>Q323</t>
  </si>
  <si>
    <t>Q423</t>
  </si>
  <si>
    <t>Total opex</t>
  </si>
  <si>
    <t>Restructuring</t>
  </si>
  <si>
    <t>Investments</t>
  </si>
  <si>
    <t>Service revenue y/y</t>
  </si>
  <si>
    <t>Product revenue y/y</t>
  </si>
  <si>
    <t>Total revenue y/y</t>
  </si>
  <si>
    <t>Service Margin</t>
  </si>
  <si>
    <t>Product Margin</t>
  </si>
  <si>
    <t>Gross Margin</t>
  </si>
  <si>
    <t>SG&amp;A y/y</t>
  </si>
  <si>
    <t>R&amp;D y/y</t>
  </si>
  <si>
    <t>Operating Margin</t>
  </si>
  <si>
    <t>Net Margin</t>
  </si>
  <si>
    <t>Maturity</t>
  </si>
  <si>
    <t>Discount rate</t>
  </si>
  <si>
    <t>NPV</t>
  </si>
  <si>
    <t>Net cash</t>
  </si>
  <si>
    <t>Value</t>
  </si>
  <si>
    <t>Per share</t>
  </si>
  <si>
    <t>Current price</t>
  </si>
  <si>
    <t>Variance</t>
  </si>
  <si>
    <t>Consensus</t>
  </si>
  <si>
    <t>Heavily overvalued</t>
  </si>
  <si>
    <t>MQ-58B</t>
  </si>
  <si>
    <t>Annual</t>
  </si>
  <si>
    <t>196M</t>
  </si>
  <si>
    <t>224M</t>
  </si>
  <si>
    <t>229M</t>
  </si>
  <si>
    <t>249M</t>
  </si>
  <si>
    <t>898M</t>
  </si>
  <si>
    <t>232M</t>
  </si>
  <si>
    <t>257M</t>
  </si>
  <si>
    <t>275M</t>
  </si>
  <si>
    <t>274M</t>
  </si>
  <si>
    <t>1.04B</t>
  </si>
  <si>
    <t>277M</t>
  </si>
  <si>
    <t>300M</t>
  </si>
  <si>
    <t>276M</t>
  </si>
  <si>
    <t>283M</t>
  </si>
  <si>
    <t>1.14B</t>
  </si>
  <si>
    <t>303M</t>
  </si>
  <si>
    <t>352M</t>
  </si>
  <si>
    <t>323M</t>
  </si>
  <si>
    <t>334M</t>
  </si>
  <si>
    <t>1.31B</t>
  </si>
  <si>
    <t>347M</t>
  </si>
  <si>
    <t>386M</t>
  </si>
  <si>
    <t>391M</t>
  </si>
  <si>
    <t>406M</t>
  </si>
  <si>
    <t>1.54B</t>
  </si>
  <si>
    <t>419M</t>
  </si>
  <si>
    <t>443M</t>
  </si>
  <si>
    <t>465M</t>
  </si>
  <si>
    <t>-</t>
  </si>
  <si>
    <t>Data as of 30/09/25</t>
  </si>
  <si>
    <t>Revenue</t>
  </si>
  <si>
    <t>Q1 (Mar)</t>
  </si>
  <si>
    <t>Q2 (Jun)</t>
  </si>
  <si>
    <t>Q3 (Sep)</t>
  </si>
  <si>
    <t>Q4 (Dec)</t>
  </si>
  <si>
    <t>A/R</t>
  </si>
  <si>
    <t>L+S/E</t>
  </si>
  <si>
    <t>EV/B</t>
  </si>
  <si>
    <t>B/EV</t>
  </si>
  <si>
    <t>Government Solutions</t>
  </si>
  <si>
    <t>U.S. Government</t>
  </si>
  <si>
    <t>International</t>
  </si>
  <si>
    <t>U.S. Commercial</t>
  </si>
  <si>
    <t>Unmanned Systems</t>
  </si>
  <si>
    <t>Backlog</t>
  </si>
  <si>
    <t>Solutions square feet</t>
  </si>
  <si>
    <t>UAS square feet</t>
  </si>
  <si>
    <t>Corporate square feet</t>
  </si>
  <si>
    <t>Total floor space</t>
  </si>
  <si>
    <t>Q126</t>
  </si>
  <si>
    <t>Q226</t>
  </si>
  <si>
    <t>Q326</t>
  </si>
  <si>
    <t>Q426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</si>
</sst>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0.00"/>
    <numFmt numFmtId="165" formatCode="0.0\x"/>
  </numFmts>
  <fonts count="12">
    <font>
      <sz val="11"/>
      <color theme="1"/>
      <name val="Calibri"/>
      <family val="2"/>
      <scheme val="minor"/>
    </font>
    <font>
      <b/>
      <sz val="11"/>
      <color theme="0"/>
      <name val="Calibri"/>
      <family val="2"/>
      <scheme val="minor"/>
    </font>
    <font>
      <sz val="11"/>
      <color theme="0"/>
      <name val="Calibri"/>
      <family val="2"/>
      <scheme val="minor"/>
    </font>
    <font>
      <i/>
      <sz val="11"/>
      <color theme="0"/>
      <name val="Calibri"/>
      <family val="2"/>
      <scheme val="minor"/>
    </font>
    <font>
      <sz val="8"/>
      <name val="Calibri"/>
      <family val="2"/>
      <scheme val="minor"/>
    </font>
    <font>
      <sz val="10"/>
      <color theme="0"/>
      <name val="Arial Unicode MS"/>
    </font>
    <font>
      <sz val="10"/>
      <color theme="0"/>
      <name val="Arial"/>
      <family val="2"/>
    </font>
    <font>
      <sz val="10"/>
      <color theme="5" tint="0.39997558519241921"/>
      <name val="Arial"/>
      <family val="2"/>
    </font>
    <font>
      <u/>
      <sz val="10"/>
      <color theme="0"/>
      <name val="Arial"/>
      <family val="2"/>
    </font>
    <font>
      <b/>
      <u/>
      <sz val="11"/>
      <color theme="0"/>
      <name val="Calibri"/>
      <family val="2"/>
      <scheme val="minor"/>
    </font>
    <font>
      <sz val="9"/>
      <color indexed="81"/>
      <name val="Tahoma"/>
      <family val="2"/>
    </font>
    <font>
      <b/>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theme="1" tint="0.14999847407452621"/>
        <bgColor indexed="64"/>
      </patternFill>
    </fill>
  </fills>
  <borders count="16">
    <border>
      <left/>
      <right/>
      <top/>
      <bottom/>
      <diagonal/>
    </border>
    <border>
      <left style="thin">
        <color theme="2" tint="-0.749992370372631"/>
      </left>
      <right style="thin">
        <color theme="2" tint="-0.749992370372631"/>
      </right>
      <top style="thin">
        <color theme="2" tint="-0.749992370372631"/>
      </top>
      <bottom style="thin">
        <color theme="2" tint="-0.749992370372631"/>
      </bottom>
      <diagonal/>
    </border>
    <border>
      <left style="thin">
        <color theme="2" tint="-0.749992370372631"/>
      </left>
      <right/>
      <top style="thin">
        <color theme="2" tint="-0.749992370372631"/>
      </top>
      <bottom style="thin">
        <color theme="2" tint="-0.749992370372631"/>
      </bottom>
      <diagonal/>
    </border>
    <border>
      <left/>
      <right style="thin">
        <color theme="2" tint="-0.749992370372631"/>
      </right>
      <top style="thin">
        <color theme="2" tint="-0.749992370372631"/>
      </top>
      <bottom style="thin">
        <color theme="2" tint="-0.749992370372631"/>
      </bottom>
      <diagonal/>
    </border>
    <border>
      <left style="thin">
        <color theme="2" tint="-0.749992370372631"/>
      </left>
      <right style="thin">
        <color theme="2" tint="-0.749992370372631"/>
      </right>
      <top style="thin">
        <color theme="2" tint="-0.749992370372631"/>
      </top>
      <bottom/>
      <diagonal/>
    </border>
    <border>
      <left style="thin">
        <color theme="2" tint="-0.749992370372631"/>
      </left>
      <right style="thin">
        <color theme="2" tint="-0.749992370372631"/>
      </right>
      <top/>
      <bottom style="thin">
        <color theme="2" tint="-0.749992370372631"/>
      </bottom>
      <diagonal/>
    </border>
    <border>
      <left style="thin">
        <color theme="2" tint="-0.749992370372631"/>
      </left>
      <right style="thin">
        <color theme="5" tint="0.39997558519241921"/>
      </right>
      <top style="thin">
        <color theme="2" tint="-0.749992370372631"/>
      </top>
      <bottom style="thin">
        <color theme="2" tint="-0.749992370372631"/>
      </bottom>
      <diagonal/>
    </border>
    <border>
      <left style="thin">
        <color theme="5" tint="0.39997558519241921"/>
      </left>
      <right style="thin">
        <color theme="2" tint="-0.749992370372631"/>
      </right>
      <top style="thin">
        <color theme="5" tint="0.39997558519241921"/>
      </top>
      <bottom style="thin">
        <color theme="2" tint="-0.749992370372631"/>
      </bottom>
      <diagonal/>
    </border>
    <border>
      <left style="thin">
        <color theme="2" tint="-0.749992370372631"/>
      </left>
      <right style="thin">
        <color theme="2" tint="-0.749992370372631"/>
      </right>
      <top style="thin">
        <color theme="5" tint="0.39997558519241921"/>
      </top>
      <bottom style="thin">
        <color theme="2" tint="-0.749992370372631"/>
      </bottom>
      <diagonal/>
    </border>
    <border>
      <left style="thin">
        <color theme="2" tint="-0.749992370372631"/>
      </left>
      <right style="thin">
        <color theme="5" tint="0.39997558519241921"/>
      </right>
      <top style="thin">
        <color theme="5" tint="0.39997558519241921"/>
      </top>
      <bottom style="thin">
        <color theme="2" tint="-0.749992370372631"/>
      </bottom>
      <diagonal/>
    </border>
    <border>
      <left style="thin">
        <color theme="5" tint="0.39997558519241921"/>
      </left>
      <right style="thin">
        <color theme="2" tint="-0.749992370372631"/>
      </right>
      <top style="thin">
        <color theme="2" tint="-0.749992370372631"/>
      </top>
      <bottom style="thin">
        <color theme="2" tint="-0.749992370372631"/>
      </bottom>
      <diagonal/>
    </border>
    <border>
      <left style="thin">
        <color theme="5" tint="0.39997558519241921"/>
      </left>
      <right style="thin">
        <color theme="2" tint="-0.749992370372631"/>
      </right>
      <top style="thin">
        <color theme="2" tint="-0.749992370372631"/>
      </top>
      <bottom style="thin">
        <color theme="5" tint="0.39997558519241921"/>
      </bottom>
      <diagonal/>
    </border>
    <border>
      <left style="thin">
        <color theme="2" tint="-0.749992370372631"/>
      </left>
      <right style="thin">
        <color theme="2" tint="-0.749992370372631"/>
      </right>
      <top style="thin">
        <color theme="2" tint="-0.749992370372631"/>
      </top>
      <bottom style="thin">
        <color theme="5" tint="0.39997558519241921"/>
      </bottom>
      <diagonal/>
    </border>
    <border>
      <left style="thin">
        <color theme="2" tint="-0.749992370372631"/>
      </left>
      <right style="thin">
        <color theme="5" tint="0.39997558519241921"/>
      </right>
      <top style="thin">
        <color theme="2" tint="-0.749992370372631"/>
      </top>
      <bottom style="thin">
        <color theme="5" tint="0.39997558519241921"/>
      </bottom>
      <diagonal/>
    </border>
    <border>
      <left style="thin">
        <color theme="5" tint="0.39997558519241921"/>
      </left>
      <right style="thin">
        <color theme="2" tint="-0.749992370372631"/>
      </right>
      <top/>
      <bottom style="thin">
        <color theme="2" tint="-0.749992370372631"/>
      </bottom>
      <diagonal/>
    </border>
    <border>
      <left style="thin">
        <color theme="2" tint="-0.749992370372631"/>
      </left>
      <right style="thin">
        <color theme="5" tint="0.39997558519241921"/>
      </right>
      <top/>
      <bottom style="thin">
        <color theme="2" tint="-0.749992370372631"/>
      </bottom>
      <diagonal/>
    </border>
  </borders>
  <cellStyleXfs count="1">
    <xf numFmtId="0" fontId="0" fillId="0" borderId="0"/>
  </cellStyleXfs>
  <cellXfs count="40">
    <xf numFmtId="0" fontId="0" fillId="0" borderId="0" xfId="0"/>
    <xf numFmtId="0" fontId="2" fillId="2" borderId="1" xfId="0" applyFont="1" applyFill="1" applyBorder="1"/>
    <xf numFmtId="0" fontId="1" fillId="2" borderId="1" xfId="0" applyFont="1" applyFill="1" applyBorder="1"/>
    <xf numFmtId="0" fontId="3" fillId="2" borderId="1" xfId="0" applyFont="1" applyFill="1" applyBorder="1" applyAlignment="1">
      <alignment horizontal="right"/>
    </xf>
    <xf numFmtId="164" fontId="2" fillId="2" borderId="1" xfId="0" applyNumberFormat="1" applyFont="1" applyFill="1" applyBorder="1"/>
    <xf numFmtId="14" fontId="3" fillId="2" borderId="1" xfId="0" applyNumberFormat="1" applyFont="1" applyFill="1" applyBorder="1" applyAlignment="1">
      <alignment horizontal="right"/>
    </xf>
    <xf numFmtId="3" fontId="2" fillId="2" borderId="1" xfId="0" applyNumberFormat="1" applyFont="1" applyFill="1" applyBorder="1"/>
    <xf numFmtId="0" fontId="2" fillId="2" borderId="1" xfId="0" applyFont="1" applyFill="1" applyBorder="1" applyAlignment="1">
      <alignment horizontal="right"/>
    </xf>
    <xf numFmtId="4" fontId="2" fillId="2" borderId="1" xfId="0" applyNumberFormat="1" applyFont="1" applyFill="1" applyBorder="1"/>
    <xf numFmtId="3" fontId="1" fillId="2" borderId="1" xfId="0" applyNumberFormat="1" applyFont="1" applyFill="1" applyBorder="1"/>
    <xf numFmtId="9" fontId="2" fillId="2" borderId="1" xfId="0" applyNumberFormat="1" applyFont="1" applyFill="1" applyBorder="1"/>
    <xf numFmtId="9" fontId="1" fillId="2" borderId="1" xfId="0" applyNumberFormat="1" applyFont="1" applyFill="1" applyBorder="1"/>
    <xf numFmtId="0" fontId="5" fillId="2" borderId="1" xfId="0" applyFont="1" applyFill="1" applyBorder="1" applyAlignment="1">
      <alignment vertical="center"/>
    </xf>
    <xf numFmtId="0" fontId="6" fillId="2" borderId="1" xfId="0" applyFont="1" applyFill="1" applyBorder="1" applyAlignment="1">
      <alignment horizontal="right" vertical="center"/>
    </xf>
    <xf numFmtId="0" fontId="7" fillId="2" borderId="1" xfId="0" applyFont="1" applyFill="1" applyBorder="1" applyAlignment="1">
      <alignment horizontal="right" vertical="center"/>
    </xf>
    <xf numFmtId="0" fontId="6" fillId="2" borderId="1" xfId="0" applyFont="1" applyFill="1" applyBorder="1"/>
    <xf numFmtId="0" fontId="2" fillId="2" borderId="2" xfId="0" applyFont="1" applyFill="1" applyBorder="1"/>
    <xf numFmtId="0" fontId="2" fillId="2" borderId="3" xfId="0" applyFont="1" applyFill="1" applyBorder="1"/>
    <xf numFmtId="0" fontId="2" fillId="2" borderId="4" xfId="0" applyFont="1" applyFill="1" applyBorder="1"/>
    <xf numFmtId="0" fontId="2" fillId="2" borderId="5" xfId="0" applyFont="1" applyFill="1" applyBorder="1"/>
    <xf numFmtId="0" fontId="6" fillId="2" borderId="6" xfId="0" applyFont="1" applyFill="1" applyBorder="1" applyAlignment="1">
      <alignment horizontal="right" vertical="center"/>
    </xf>
    <xf numFmtId="0" fontId="6" fillId="2" borderId="6" xfId="0" quotePrefix="1" applyFont="1" applyFill="1" applyBorder="1" applyAlignment="1">
      <alignment horizontal="right" vertical="center"/>
    </xf>
    <xf numFmtId="0" fontId="7" fillId="2" borderId="12" xfId="0" applyFont="1" applyFill="1" applyBorder="1" applyAlignment="1">
      <alignment horizontal="right" vertical="center"/>
    </xf>
    <xf numFmtId="0" fontId="6" fillId="2" borderId="12" xfId="0" applyFont="1" applyFill="1" applyBorder="1" applyAlignment="1">
      <alignment horizontal="right" vertical="center"/>
    </xf>
    <xf numFmtId="0" fontId="6" fillId="2" borderId="13" xfId="0" quotePrefix="1" applyFont="1" applyFill="1" applyBorder="1" applyAlignment="1">
      <alignment horizontal="right"/>
    </xf>
    <xf numFmtId="0" fontId="7" fillId="2" borderId="5" xfId="0" applyFont="1" applyFill="1" applyBorder="1" applyAlignment="1">
      <alignment horizontal="right" vertical="center"/>
    </xf>
    <xf numFmtId="0" fontId="6" fillId="2" borderId="5" xfId="0" applyFont="1" applyFill="1" applyBorder="1" applyAlignment="1">
      <alignment horizontal="right" vertical="center"/>
    </xf>
    <xf numFmtId="0" fontId="6" fillId="2" borderId="15" xfId="0" applyFont="1" applyFill="1" applyBorder="1" applyAlignment="1">
      <alignment horizontal="right" vertical="center"/>
    </xf>
    <xf numFmtId="0" fontId="6" fillId="3" borderId="8" xfId="0" applyFont="1" applyFill="1" applyBorder="1" applyAlignment="1">
      <alignment horizontal="right"/>
    </xf>
    <xf numFmtId="0" fontId="6" fillId="3" borderId="9" xfId="0" applyFont="1" applyFill="1" applyBorder="1" applyAlignment="1">
      <alignment horizontal="right"/>
    </xf>
    <xf numFmtId="0" fontId="8" fillId="3" borderId="7" xfId="0" applyFont="1" applyFill="1" applyBorder="1" applyAlignment="1">
      <alignment horizontal="center"/>
    </xf>
    <xf numFmtId="0" fontId="6" fillId="2" borderId="14" xfId="0" applyFont="1" applyFill="1" applyBorder="1" applyAlignment="1">
      <alignment horizontal="center"/>
    </xf>
    <xf numFmtId="0" fontId="6" fillId="2" borderId="10" xfId="0" applyFont="1" applyFill="1" applyBorder="1" applyAlignment="1">
      <alignment horizontal="center"/>
    </xf>
    <xf numFmtId="0" fontId="6" fillId="2" borderId="11" xfId="0" applyFont="1" applyFill="1" applyBorder="1" applyAlignment="1">
      <alignment horizontal="center"/>
    </xf>
    <xf numFmtId="0" fontId="9" fillId="2" borderId="1" xfId="0" applyFont="1" applyFill="1" applyBorder="1"/>
    <xf numFmtId="165" fontId="2" fillId="2" borderId="1" xfId="0" applyNumberFormat="1" applyFont="1" applyFill="1" applyBorder="1"/>
    <xf numFmtId="0" fontId="1" fillId="2" borderId="1" xfId="0" applyFont="1" applyFill="1" applyBorder="1" applyAlignment="1">
      <alignment horizontal="right"/>
    </xf>
    <xf numFmtId="3" fontId="2" fillId="2" borderId="1" xfId="0" applyNumberFormat="1" applyFont="1" applyFill="1" applyBorder="1" applyAlignment="1">
      <alignment horizontal="right"/>
    </xf>
    <xf numFmtId="3" fontId="1" fillId="2" borderId="1" xfId="0" applyNumberFormat="1" applyFont="1" applyFill="1" applyBorder="1" applyAlignment="1">
      <alignment horizontal="right"/>
    </xf>
    <xf numFmtId="3" fontId="3" fillId="2" borderId="1"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14</xdr:col>
      <xdr:colOff>30480</xdr:colOff>
      <xdr:row>0</xdr:row>
      <xdr:rowOff>7620</xdr:rowOff>
    </xdr:from>
    <xdr:to>
      <xdr:col>14</xdr:col>
      <xdr:colOff>30480</xdr:colOff>
      <xdr:row>57</xdr:row>
      <xdr:rowOff>106680</xdr:rowOff>
    </xdr:to>
    <xdr:cxnSp macro="">
      <xdr:nvCxnSpPr>
        <xdr:cNvPr id="3" name="Straight Connector 2">
          <a:extLst>
            <a:ext uri="{FF2B5EF4-FFF2-40B4-BE49-F238E27FC236}">
              <a16:creationId xmlns:a16="http://schemas.microsoft.com/office/drawing/2014/main" id="{BB4B1400-3D6B-02B8-71F3-082D1B356E15}"/>
            </a:ext>
          </a:extLst>
        </xdr:cNvPr>
        <xdr:cNvCxnSpPr/>
      </xdr:nvCxnSpPr>
      <xdr:spPr>
        <a:xfrm>
          <a:off x="9326880" y="7620"/>
          <a:ext cx="0" cy="1052322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30480</xdr:colOff>
      <xdr:row>0</xdr:row>
      <xdr:rowOff>0</xdr:rowOff>
    </xdr:from>
    <xdr:to>
      <xdr:col>26</xdr:col>
      <xdr:colOff>30480</xdr:colOff>
      <xdr:row>57</xdr:row>
      <xdr:rowOff>106680</xdr:rowOff>
    </xdr:to>
    <xdr:cxnSp macro="">
      <xdr:nvCxnSpPr>
        <xdr:cNvPr id="4" name="Straight Connector 3">
          <a:extLst>
            <a:ext uri="{FF2B5EF4-FFF2-40B4-BE49-F238E27FC236}">
              <a16:creationId xmlns:a16="http://schemas.microsoft.com/office/drawing/2014/main" id="{C94E3B0E-1264-4179-AAEB-BADDC789BCE0}"/>
            </a:ext>
          </a:extLst>
        </xdr:cNvPr>
        <xdr:cNvCxnSpPr/>
      </xdr:nvCxnSpPr>
      <xdr:spPr>
        <a:xfrm>
          <a:off x="16642080" y="0"/>
          <a:ext cx="0" cy="105308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D50F1-21AE-470A-85EA-C490AC7F5878}">
  <dimension ref="B2:G9"/>
  <sheetViews>
    <sheetView workbookViewId="0">
      <selection activeCell="E7" sqref="E7"/>
    </sheetView>
  </sheetViews>
  <sheetFormatPr defaultRowHeight="14.4"/>
  <cols>
    <col min="1" max="4" width="8.88671875" style="1"/>
    <col min="5" max="5" width="11.88671875" style="3" bestFit="1" customWidth="1"/>
    <col min="6" max="7" width="11.21875" style="3" bestFit="1" customWidth="1"/>
    <col min="8" max="16384" width="8.88671875" style="1"/>
  </cols>
  <sheetData>
    <row r="2" spans="2:7">
      <c r="E2" s="3" t="s">
        <v>8</v>
      </c>
      <c r="F2" s="3" t="s">
        <v>9</v>
      </c>
      <c r="G2" s="3" t="s">
        <v>10</v>
      </c>
    </row>
    <row r="3" spans="2:7">
      <c r="B3" s="2" t="s">
        <v>0</v>
      </c>
      <c r="C3" s="1" t="s">
        <v>1</v>
      </c>
      <c r="D3" s="4">
        <v>91.31</v>
      </c>
      <c r="E3" s="5">
        <v>46078</v>
      </c>
      <c r="F3" s="5">
        <f ca="1">TODAY()</f>
        <v>46078</v>
      </c>
      <c r="G3" s="5">
        <v>46148</v>
      </c>
    </row>
    <row r="4" spans="2:7">
      <c r="C4" s="1" t="s">
        <v>2</v>
      </c>
      <c r="D4" s="6">
        <f>170.3</f>
        <v>170.3</v>
      </c>
      <c r="E4" s="3" t="s">
        <v>34</v>
      </c>
    </row>
    <row r="5" spans="2:7">
      <c r="C5" s="1" t="s">
        <v>3</v>
      </c>
      <c r="D5" s="6">
        <f>D3*D4</f>
        <v>15550.093000000001</v>
      </c>
    </row>
    <row r="6" spans="2:7">
      <c r="C6" s="1" t="s">
        <v>4</v>
      </c>
      <c r="D6" s="6">
        <f>560.6+5</f>
        <v>565.6</v>
      </c>
      <c r="E6" s="3" t="s">
        <v>34</v>
      </c>
    </row>
    <row r="7" spans="2:7">
      <c r="C7" s="1" t="s">
        <v>5</v>
      </c>
      <c r="D7" s="6">
        <v>0</v>
      </c>
      <c r="E7" s="3" t="s">
        <v>34</v>
      </c>
    </row>
    <row r="8" spans="2:7">
      <c r="C8" s="1" t="s">
        <v>7</v>
      </c>
      <c r="D8" s="6">
        <f>D6-D7</f>
        <v>565.6</v>
      </c>
    </row>
    <row r="9" spans="2:7">
      <c r="C9" s="1" t="s">
        <v>6</v>
      </c>
      <c r="D9" s="6">
        <f>D5-D8</f>
        <v>14984.493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37CCB-0B59-41FB-A535-43E374CC36C0}">
  <dimension ref="B2:EK63"/>
  <sheetViews>
    <sheetView tabSelected="1" zoomScaleNormal="100" workbookViewId="0">
      <pane xSplit="2" ySplit="2" topLeftCell="K3" activePane="bottomRight" state="frozen"/>
      <selection pane="topRight" activeCell="C1" sqref="C1"/>
      <selection pane="bottomLeft" activeCell="A3" sqref="A3"/>
      <selection pane="bottomRight" activeCell="N15" sqref="N15"/>
    </sheetView>
  </sheetViews>
  <sheetFormatPr defaultRowHeight="14.4"/>
  <cols>
    <col min="1" max="1" width="8.88671875" style="1"/>
    <col min="2" max="2" width="20" style="1" bestFit="1" customWidth="1"/>
    <col min="3" max="6" width="8.88671875" style="1" customWidth="1"/>
    <col min="7" max="37" width="8.88671875" style="1"/>
    <col min="38" max="38" width="13.88671875" style="1" customWidth="1"/>
    <col min="39" max="39" width="16.44140625" style="1" bestFit="1" customWidth="1"/>
    <col min="40" max="16384" width="8.88671875" style="1"/>
  </cols>
  <sheetData>
    <row r="2" spans="2:36">
      <c r="C2" s="7" t="s">
        <v>35</v>
      </c>
      <c r="D2" s="7" t="s">
        <v>36</v>
      </c>
      <c r="E2" s="7" t="s">
        <v>37</v>
      </c>
      <c r="F2" s="7" t="s">
        <v>38</v>
      </c>
      <c r="G2" s="7" t="s">
        <v>28</v>
      </c>
      <c r="H2" s="7" t="s">
        <v>29</v>
      </c>
      <c r="I2" s="7" t="s">
        <v>30</v>
      </c>
      <c r="J2" s="7" t="s">
        <v>31</v>
      </c>
      <c r="K2" s="7" t="s">
        <v>32</v>
      </c>
      <c r="L2" s="7" t="s">
        <v>11</v>
      </c>
      <c r="M2" s="7" t="s">
        <v>33</v>
      </c>
      <c r="N2" s="7" t="s">
        <v>34</v>
      </c>
      <c r="O2" s="7" t="s">
        <v>113</v>
      </c>
      <c r="P2" s="7" t="s">
        <v>114</v>
      </c>
      <c r="Q2" s="7" t="s">
        <v>115</v>
      </c>
      <c r="R2" s="7" t="s">
        <v>116</v>
      </c>
      <c r="T2" s="1">
        <v>2019</v>
      </c>
      <c r="U2" s="1">
        <v>2020</v>
      </c>
      <c r="V2" s="1">
        <v>2021</v>
      </c>
      <c r="W2" s="1">
        <v>2022</v>
      </c>
      <c r="X2" s="1">
        <v>2023</v>
      </c>
      <c r="Y2" s="1">
        <v>2024</v>
      </c>
      <c r="Z2" s="1">
        <v>2025</v>
      </c>
      <c r="AA2" s="1">
        <v>2026</v>
      </c>
      <c r="AB2" s="1">
        <v>2027</v>
      </c>
      <c r="AC2" s="1">
        <v>2028</v>
      </c>
      <c r="AD2" s="1">
        <v>2029</v>
      </c>
      <c r="AE2" s="1">
        <v>2030</v>
      </c>
      <c r="AF2" s="1">
        <v>2031</v>
      </c>
      <c r="AG2" s="1">
        <v>2032</v>
      </c>
      <c r="AH2" s="1">
        <v>2033</v>
      </c>
      <c r="AI2" s="1">
        <v>2034</v>
      </c>
      <c r="AJ2" s="1">
        <v>2035</v>
      </c>
    </row>
    <row r="3" spans="2:36">
      <c r="B3" s="1" t="s">
        <v>109</v>
      </c>
      <c r="C3" s="7"/>
      <c r="D3" s="7"/>
      <c r="E3" s="7"/>
      <c r="F3" s="7"/>
      <c r="G3" s="7"/>
      <c r="H3" s="7"/>
      <c r="I3" s="7"/>
      <c r="J3" s="7"/>
      <c r="K3" s="7"/>
      <c r="L3" s="7"/>
      <c r="M3" s="7"/>
      <c r="N3" s="7"/>
      <c r="O3" s="7"/>
      <c r="P3" s="7"/>
      <c r="Q3" s="7"/>
      <c r="R3" s="7"/>
      <c r="Y3" s="6">
        <v>1600000</v>
      </c>
    </row>
    <row r="4" spans="2:36">
      <c r="B4" s="1" t="s">
        <v>110</v>
      </c>
      <c r="C4" s="7"/>
      <c r="D4" s="7"/>
      <c r="E4" s="7"/>
      <c r="F4" s="7"/>
      <c r="G4" s="7"/>
      <c r="H4" s="7"/>
      <c r="I4" s="7"/>
      <c r="J4" s="7"/>
      <c r="K4" s="7"/>
      <c r="L4" s="7"/>
      <c r="M4" s="7"/>
      <c r="N4" s="7"/>
      <c r="O4" s="7"/>
      <c r="P4" s="7"/>
      <c r="Q4" s="7"/>
      <c r="R4" s="7"/>
      <c r="Y4" s="6">
        <v>551000</v>
      </c>
    </row>
    <row r="5" spans="2:36">
      <c r="B5" s="1" t="s">
        <v>111</v>
      </c>
      <c r="C5" s="7"/>
      <c r="D5" s="7"/>
      <c r="E5" s="7"/>
      <c r="F5" s="7"/>
      <c r="G5" s="7"/>
      <c r="H5" s="7"/>
      <c r="I5" s="7"/>
      <c r="J5" s="7"/>
      <c r="K5" s="7"/>
      <c r="L5" s="7"/>
      <c r="M5" s="7"/>
      <c r="N5" s="7"/>
      <c r="O5" s="7"/>
      <c r="P5" s="7"/>
      <c r="Q5" s="7"/>
      <c r="R5" s="7"/>
      <c r="Y5" s="6">
        <v>26000</v>
      </c>
    </row>
    <row r="6" spans="2:36" s="2" customFormat="1">
      <c r="B6" s="2" t="s">
        <v>112</v>
      </c>
      <c r="C6" s="36"/>
      <c r="D6" s="36"/>
      <c r="E6" s="36"/>
      <c r="F6" s="36"/>
      <c r="G6" s="36"/>
      <c r="H6" s="36"/>
      <c r="I6" s="36"/>
      <c r="J6" s="36"/>
      <c r="K6" s="36"/>
      <c r="L6" s="36"/>
      <c r="M6" s="36"/>
      <c r="N6" s="36"/>
      <c r="O6" s="36"/>
      <c r="P6" s="36"/>
      <c r="Q6" s="36"/>
      <c r="R6" s="36"/>
      <c r="Y6" s="9">
        <f>SUM(Y3:Y5)</f>
        <v>2177000</v>
      </c>
    </row>
    <row r="7" spans="2:36">
      <c r="C7" s="7"/>
      <c r="D7" s="7"/>
      <c r="E7" s="7"/>
      <c r="F7" s="7"/>
      <c r="G7" s="7"/>
      <c r="H7" s="7"/>
      <c r="I7" s="7"/>
      <c r="J7" s="7"/>
      <c r="K7" s="7"/>
      <c r="L7" s="7"/>
      <c r="M7" s="7"/>
      <c r="N7" s="7"/>
      <c r="O7" s="7"/>
      <c r="P7" s="7"/>
      <c r="Q7" s="7"/>
      <c r="R7" s="7"/>
    </row>
    <row r="8" spans="2:36">
      <c r="B8" s="1" t="s">
        <v>108</v>
      </c>
      <c r="C8" s="7"/>
      <c r="D8" s="7"/>
      <c r="E8" s="7"/>
      <c r="F8" s="37">
        <v>1243.9000000000001</v>
      </c>
      <c r="G8" s="37">
        <v>1272.8</v>
      </c>
      <c r="H8" s="37">
        <v>1302.7</v>
      </c>
      <c r="I8" s="37">
        <v>1294</v>
      </c>
      <c r="J8" s="37">
        <v>1445.1</v>
      </c>
      <c r="K8" s="37">
        <v>1508.1</v>
      </c>
      <c r="L8" s="37">
        <v>1413.6</v>
      </c>
      <c r="M8" s="37">
        <v>1480</v>
      </c>
      <c r="N8" s="37">
        <v>1573.4</v>
      </c>
      <c r="O8" s="7"/>
      <c r="P8" s="7"/>
      <c r="Q8" s="7"/>
      <c r="R8" s="7"/>
      <c r="X8" s="37">
        <v>1243.9000000000001</v>
      </c>
      <c r="Y8" s="37">
        <v>1445.1</v>
      </c>
      <c r="Z8" s="37">
        <v>1573.4</v>
      </c>
    </row>
    <row r="9" spans="2:36">
      <c r="C9" s="7"/>
      <c r="D9" s="7"/>
      <c r="E9" s="7"/>
      <c r="F9" s="7"/>
      <c r="G9" s="7"/>
      <c r="H9" s="7"/>
      <c r="I9" s="7"/>
      <c r="J9" s="7"/>
      <c r="K9" s="7"/>
      <c r="L9" s="7"/>
      <c r="M9" s="7"/>
      <c r="N9" s="7"/>
      <c r="O9" s="7"/>
      <c r="P9" s="7"/>
      <c r="Q9" s="7"/>
      <c r="R9" s="7"/>
    </row>
    <row r="10" spans="2:36">
      <c r="B10" s="1" t="s">
        <v>104</v>
      </c>
      <c r="C10" s="7"/>
      <c r="D10" s="7"/>
      <c r="E10" s="7"/>
      <c r="F10" s="7"/>
      <c r="G10" s="37">
        <v>135.1</v>
      </c>
      <c r="H10" s="37">
        <v>129.19999999999999</v>
      </c>
      <c r="I10" s="37">
        <v>128.4</v>
      </c>
      <c r="J10" s="37">
        <f>Y10-I10-H10-G10</f>
        <v>135.30000000000004</v>
      </c>
      <c r="K10" s="37">
        <v>149.4</v>
      </c>
      <c r="L10" s="37">
        <v>186.7</v>
      </c>
      <c r="M10" s="37">
        <v>164.7</v>
      </c>
      <c r="N10" s="37">
        <f>Z10-M10-L10-K10</f>
        <v>171.49999999999997</v>
      </c>
      <c r="O10" s="7"/>
      <c r="P10" s="7"/>
      <c r="Q10" s="7"/>
      <c r="R10" s="7"/>
      <c r="W10" s="37">
        <v>420.4</v>
      </c>
      <c r="X10" s="37">
        <v>512.5</v>
      </c>
      <c r="Y10" s="37">
        <v>528</v>
      </c>
      <c r="Z10" s="37">
        <v>672.3</v>
      </c>
    </row>
    <row r="11" spans="2:36">
      <c r="B11" s="1" t="s">
        <v>105</v>
      </c>
      <c r="C11" s="7"/>
      <c r="D11" s="7"/>
      <c r="E11" s="7"/>
      <c r="F11" s="7"/>
      <c r="G11" s="37">
        <v>50.7</v>
      </c>
      <c r="H11" s="37">
        <v>41.3</v>
      </c>
      <c r="I11" s="37">
        <v>52.1</v>
      </c>
      <c r="J11" s="37">
        <f t="shared" ref="J11:J12" si="0">Y11-I11-H11-G11</f>
        <v>51.300000000000011</v>
      </c>
      <c r="K11" s="37">
        <v>55.3</v>
      </c>
      <c r="L11" s="37">
        <v>52.2</v>
      </c>
      <c r="M11" s="37">
        <v>55.8</v>
      </c>
      <c r="N11" s="37">
        <f t="shared" ref="N11:N12" si="1">Z11-M11-L11-K11</f>
        <v>65</v>
      </c>
      <c r="O11" s="7"/>
      <c r="P11" s="7"/>
      <c r="Q11" s="7"/>
      <c r="R11" s="7"/>
      <c r="W11" s="37">
        <v>157.5</v>
      </c>
      <c r="X11" s="37">
        <v>192.8</v>
      </c>
      <c r="Y11" s="37">
        <v>195.4</v>
      </c>
      <c r="Z11" s="37">
        <v>228.3</v>
      </c>
    </row>
    <row r="12" spans="2:36">
      <c r="B12" s="1" t="s">
        <v>106</v>
      </c>
      <c r="C12" s="7"/>
      <c r="D12" s="7"/>
      <c r="E12" s="7"/>
      <c r="F12" s="7"/>
      <c r="G12" s="37">
        <v>32</v>
      </c>
      <c r="H12" s="37">
        <v>43.8</v>
      </c>
      <c r="I12" s="37">
        <v>31.2</v>
      </c>
      <c r="J12" s="37">
        <f t="shared" si="0"/>
        <v>35.400000000000006</v>
      </c>
      <c r="K12" s="37">
        <v>34.799999999999997</v>
      </c>
      <c r="L12" s="37">
        <v>39.4</v>
      </c>
      <c r="M12" s="37">
        <v>39.799999999999997</v>
      </c>
      <c r="N12" s="37">
        <f t="shared" si="1"/>
        <v>40.200000000000003</v>
      </c>
      <c r="O12" s="7"/>
      <c r="P12" s="7"/>
      <c r="Q12" s="7"/>
      <c r="R12" s="7"/>
      <c r="W12" s="37">
        <v>98.7</v>
      </c>
      <c r="X12" s="37">
        <v>119.6</v>
      </c>
      <c r="Y12" s="37">
        <v>142.4</v>
      </c>
      <c r="Z12" s="37">
        <v>154.19999999999999</v>
      </c>
    </row>
    <row r="13" spans="2:36" s="2" customFormat="1">
      <c r="B13" s="2" t="s">
        <v>103</v>
      </c>
      <c r="C13" s="36"/>
      <c r="D13" s="36"/>
      <c r="E13" s="36"/>
      <c r="F13" s="36"/>
      <c r="G13" s="38">
        <f>SUM(G10:G12)</f>
        <v>217.8</v>
      </c>
      <c r="H13" s="38">
        <f>SUM(H10:H12)</f>
        <v>214.3</v>
      </c>
      <c r="I13" s="38">
        <f>SUM(I10:I12)</f>
        <v>211.7</v>
      </c>
      <c r="J13" s="38">
        <f>SUM(J10:J12)</f>
        <v>222.00000000000006</v>
      </c>
      <c r="K13" s="38">
        <f>SUM(K10:K12)</f>
        <v>239.5</v>
      </c>
      <c r="L13" s="38">
        <f>SUM(L10:L12)</f>
        <v>278.29999999999995</v>
      </c>
      <c r="M13" s="38">
        <f>SUM(M10:M12)</f>
        <v>260.3</v>
      </c>
      <c r="N13" s="38">
        <f>SUM(N10:N12)</f>
        <v>276.7</v>
      </c>
      <c r="O13" s="36"/>
      <c r="P13" s="36"/>
      <c r="Q13" s="36"/>
      <c r="R13" s="36"/>
      <c r="W13" s="38">
        <f>SUM(W10:W12)</f>
        <v>676.6</v>
      </c>
      <c r="X13" s="38">
        <f>SUM(X10:X12)</f>
        <v>824.9</v>
      </c>
      <c r="Y13" s="38">
        <f>SUM(Y10:Y12)</f>
        <v>865.8</v>
      </c>
      <c r="Z13" s="38">
        <f>SUM(Z10:Z12)</f>
        <v>1054.8</v>
      </c>
    </row>
    <row r="14" spans="2:36">
      <c r="B14" s="1" t="s">
        <v>104</v>
      </c>
      <c r="C14" s="7"/>
      <c r="D14" s="7"/>
      <c r="E14" s="7"/>
      <c r="F14" s="7"/>
      <c r="G14" s="37">
        <v>55.8</v>
      </c>
      <c r="H14" s="37">
        <v>66.2</v>
      </c>
      <c r="I14" s="37">
        <v>55.5</v>
      </c>
      <c r="J14" s="37">
        <f t="shared" ref="J14:J16" si="2">Y14-I14-H14-G14</f>
        <v>56.5</v>
      </c>
      <c r="K14" s="37">
        <v>56.1</v>
      </c>
      <c r="L14" s="37">
        <v>62</v>
      </c>
      <c r="M14" s="37">
        <v>66.400000000000006</v>
      </c>
      <c r="N14" s="37">
        <f t="shared" ref="N14:N16" si="3">Z14-M14-L14-K14</f>
        <v>60.300000000000004</v>
      </c>
      <c r="O14" s="7"/>
      <c r="P14" s="7"/>
      <c r="Q14" s="7"/>
      <c r="R14" s="7"/>
      <c r="W14" s="37">
        <v>203.3</v>
      </c>
      <c r="X14" s="37">
        <v>200.2</v>
      </c>
      <c r="Y14" s="37">
        <v>234</v>
      </c>
      <c r="Z14" s="37">
        <v>244.8</v>
      </c>
    </row>
    <row r="15" spans="2:36">
      <c r="B15" s="1" t="s">
        <v>105</v>
      </c>
      <c r="C15" s="7"/>
      <c r="D15" s="7"/>
      <c r="E15" s="7"/>
      <c r="F15" s="7"/>
      <c r="G15" s="37">
        <v>2.4</v>
      </c>
      <c r="H15" s="37">
        <v>18.8</v>
      </c>
      <c r="I15" s="37">
        <v>6.5</v>
      </c>
      <c r="J15" s="37">
        <f t="shared" si="2"/>
        <v>3.6</v>
      </c>
      <c r="K15" s="37">
        <v>5.8</v>
      </c>
      <c r="L15" s="37">
        <v>9</v>
      </c>
      <c r="M15" s="37">
        <v>3.9</v>
      </c>
      <c r="N15" s="37">
        <f t="shared" si="3"/>
        <v>20.599999999999998</v>
      </c>
      <c r="O15" s="7"/>
      <c r="P15" s="7"/>
      <c r="Q15" s="7"/>
      <c r="R15" s="7"/>
      <c r="W15" s="37">
        <v>15.6</v>
      </c>
      <c r="X15" s="37">
        <v>9.1999999999999993</v>
      </c>
      <c r="Y15" s="37">
        <v>31.3</v>
      </c>
      <c r="Z15" s="37">
        <v>39.299999999999997</v>
      </c>
    </row>
    <row r="16" spans="2:36">
      <c r="B16" s="1" t="s">
        <v>106</v>
      </c>
      <c r="C16" s="7"/>
      <c r="D16" s="7"/>
      <c r="E16" s="7"/>
      <c r="F16" s="7"/>
      <c r="G16" s="37">
        <v>1.2</v>
      </c>
      <c r="H16" s="37">
        <v>0.8</v>
      </c>
      <c r="I16" s="37">
        <v>2.2000000000000002</v>
      </c>
      <c r="J16" s="37">
        <f t="shared" si="2"/>
        <v>1.0000000000000002</v>
      </c>
      <c r="K16" s="37">
        <v>1.2</v>
      </c>
      <c r="L16" s="37">
        <v>2.2000000000000002</v>
      </c>
      <c r="M16" s="37">
        <v>17</v>
      </c>
      <c r="N16" s="37">
        <f t="shared" si="3"/>
        <v>-12.5</v>
      </c>
      <c r="O16" s="7"/>
      <c r="P16" s="7"/>
      <c r="Q16" s="7"/>
      <c r="R16" s="7"/>
      <c r="W16" s="37">
        <v>2.8</v>
      </c>
      <c r="X16" s="37">
        <v>2.8</v>
      </c>
      <c r="Y16" s="37">
        <v>5.2</v>
      </c>
      <c r="Z16" s="37">
        <v>7.9</v>
      </c>
    </row>
    <row r="17" spans="2:36" s="2" customFormat="1">
      <c r="B17" s="2" t="s">
        <v>107</v>
      </c>
      <c r="C17" s="36"/>
      <c r="D17" s="36"/>
      <c r="E17" s="36"/>
      <c r="F17" s="36"/>
      <c r="G17" s="38">
        <f>SUM(G14:G16)</f>
        <v>59.4</v>
      </c>
      <c r="H17" s="38">
        <f>SUM(H14:H16)</f>
        <v>85.8</v>
      </c>
      <c r="I17" s="38">
        <f>SUM(I14:I16)</f>
        <v>64.2</v>
      </c>
      <c r="J17" s="38">
        <f>SUM(J14:J16)</f>
        <v>61.1</v>
      </c>
      <c r="K17" s="38">
        <f>SUM(K14:K16)</f>
        <v>63.1</v>
      </c>
      <c r="L17" s="38">
        <f>SUM(L14:L16)</f>
        <v>73.2</v>
      </c>
      <c r="M17" s="38">
        <f>SUM(M14:M16)</f>
        <v>87.300000000000011</v>
      </c>
      <c r="N17" s="38">
        <f>SUM(N14:N16)</f>
        <v>68.400000000000006</v>
      </c>
      <c r="O17" s="36"/>
      <c r="P17" s="36"/>
      <c r="Q17" s="36"/>
      <c r="R17" s="36"/>
      <c r="W17" s="38">
        <f>SUM(W14:W16)</f>
        <v>221.70000000000002</v>
      </c>
      <c r="X17" s="38">
        <f>SUM(X14:X16)</f>
        <v>212.2</v>
      </c>
      <c r="Y17" s="38">
        <f>SUM(Y14:Y16)</f>
        <v>270.5</v>
      </c>
      <c r="Z17" s="38">
        <f>SUM(Z14:Z16)</f>
        <v>292</v>
      </c>
    </row>
    <row r="18" spans="2:36" s="2" customFormat="1">
      <c r="B18" s="2" t="s">
        <v>13</v>
      </c>
      <c r="C18" s="36"/>
      <c r="D18" s="36"/>
      <c r="E18" s="36"/>
      <c r="F18" s="36"/>
      <c r="G18" s="38">
        <f>SUM(G17,G13)</f>
        <v>277.2</v>
      </c>
      <c r="H18" s="38">
        <f>SUM(H17,H13)</f>
        <v>300.10000000000002</v>
      </c>
      <c r="I18" s="38">
        <f>SUM(I17,I13)</f>
        <v>275.89999999999998</v>
      </c>
      <c r="J18" s="38">
        <f>SUM(J17,J13)</f>
        <v>283.10000000000008</v>
      </c>
      <c r="K18" s="38">
        <f>SUM(K17,K13)</f>
        <v>302.60000000000002</v>
      </c>
      <c r="L18" s="38">
        <f>SUM(L17,L13)</f>
        <v>351.49999999999994</v>
      </c>
      <c r="M18" s="38">
        <f>SUM(M17,M13)</f>
        <v>347.6</v>
      </c>
      <c r="N18" s="38">
        <f>SUM(N17,N13)</f>
        <v>345.1</v>
      </c>
      <c r="O18" s="36"/>
      <c r="P18" s="36"/>
      <c r="Q18" s="36"/>
      <c r="R18" s="36"/>
      <c r="W18" s="38">
        <f>SUM(W17,W13)</f>
        <v>898.30000000000007</v>
      </c>
      <c r="X18" s="38">
        <f>SUM(X17,X13)</f>
        <v>1037.0999999999999</v>
      </c>
      <c r="Y18" s="38">
        <f>SUM(Y17,Y13)</f>
        <v>1136.3</v>
      </c>
      <c r="Z18" s="38">
        <f>SUM(Z17,Z13)</f>
        <v>1346.8</v>
      </c>
    </row>
    <row r="19" spans="2:36">
      <c r="C19" s="7"/>
      <c r="D19" s="7"/>
      <c r="E19" s="7"/>
      <c r="F19" s="7"/>
      <c r="G19" s="7"/>
      <c r="H19" s="7"/>
      <c r="I19" s="7"/>
      <c r="J19" s="7"/>
      <c r="K19" s="7"/>
      <c r="L19" s="7"/>
      <c r="M19" s="7"/>
      <c r="N19" s="7"/>
      <c r="O19" s="7"/>
      <c r="P19" s="7"/>
      <c r="Q19" s="7"/>
      <c r="R19" s="7"/>
    </row>
    <row r="20" spans="2:36">
      <c r="B20" s="1" t="s">
        <v>62</v>
      </c>
      <c r="C20" s="7"/>
      <c r="D20" s="7"/>
      <c r="E20" s="7"/>
      <c r="F20" s="7"/>
      <c r="G20" s="7"/>
      <c r="H20" s="7"/>
      <c r="I20" s="7"/>
      <c r="J20" s="7"/>
      <c r="K20" s="7"/>
      <c r="L20" s="7"/>
      <c r="M20" s="7"/>
      <c r="N20" s="7"/>
      <c r="O20" s="7"/>
      <c r="P20" s="7"/>
      <c r="Q20" s="7"/>
      <c r="R20" s="7"/>
    </row>
    <row r="21" spans="2:36">
      <c r="C21" s="7"/>
      <c r="D21" s="7"/>
      <c r="E21" s="7"/>
      <c r="F21" s="7"/>
      <c r="G21" s="7"/>
      <c r="H21" s="7"/>
      <c r="I21" s="7"/>
      <c r="J21" s="7"/>
      <c r="K21" s="7"/>
      <c r="L21" s="7"/>
      <c r="M21" s="7"/>
      <c r="N21" s="7"/>
      <c r="O21" s="7"/>
      <c r="P21" s="7"/>
      <c r="Q21" s="7"/>
      <c r="R21" s="7"/>
    </row>
    <row r="22" spans="2:36">
      <c r="B22" s="1" t="s">
        <v>14</v>
      </c>
      <c r="E22" s="6">
        <v>106.5</v>
      </c>
      <c r="G22" s="6">
        <v>106.5</v>
      </c>
      <c r="H22" s="6">
        <v>106.5</v>
      </c>
      <c r="I22" s="6">
        <v>103.9</v>
      </c>
      <c r="J22" s="6">
        <f>Y22-I22-H22-G22</f>
        <v>106.5</v>
      </c>
      <c r="K22" s="6">
        <v>102.4</v>
      </c>
      <c r="L22" s="6">
        <v>134.9</v>
      </c>
      <c r="M22" s="6">
        <v>117.4</v>
      </c>
      <c r="N22" s="6">
        <f>Z22-M22-L22-K22</f>
        <v>114.30000000000001</v>
      </c>
      <c r="O22" s="6"/>
      <c r="P22" s="6"/>
      <c r="Q22" s="6"/>
      <c r="R22" s="6"/>
      <c r="T22" s="6">
        <v>272.60000000000002</v>
      </c>
      <c r="U22" s="6">
        <v>248.7</v>
      </c>
      <c r="V22" s="6">
        <v>219.4</v>
      </c>
      <c r="W22" s="6">
        <v>325.2</v>
      </c>
      <c r="X22" s="6">
        <v>402.6</v>
      </c>
      <c r="Y22" s="6">
        <v>423.4</v>
      </c>
      <c r="Z22" s="6">
        <v>469</v>
      </c>
      <c r="AA22" s="39">
        <f>Z22*1.1</f>
        <v>515.90000000000009</v>
      </c>
      <c r="AB22" s="6">
        <f>AA22*1.09</f>
        <v>562.33100000000013</v>
      </c>
      <c r="AC22" s="6">
        <f>AB22*1.07</f>
        <v>601.69417000000021</v>
      </c>
      <c r="AD22" s="6">
        <f>AC22*1.05</f>
        <v>631.77887850000025</v>
      </c>
      <c r="AE22" s="6">
        <f t="shared" ref="AE22:AJ22" si="4">AD22*1.05</f>
        <v>663.36782242500033</v>
      </c>
      <c r="AF22" s="6">
        <f t="shared" si="4"/>
        <v>696.53621354625034</v>
      </c>
      <c r="AG22" s="6">
        <f t="shared" si="4"/>
        <v>731.36302422356289</v>
      </c>
      <c r="AH22" s="6">
        <f t="shared" si="4"/>
        <v>767.93117543474102</v>
      </c>
      <c r="AI22" s="6">
        <f t="shared" si="4"/>
        <v>806.32773420647811</v>
      </c>
      <c r="AJ22" s="6">
        <f t="shared" si="4"/>
        <v>846.64412091680208</v>
      </c>
    </row>
    <row r="23" spans="2:36">
      <c r="B23" s="1" t="s">
        <v>15</v>
      </c>
      <c r="E23" s="6">
        <v>168.1</v>
      </c>
      <c r="G23" s="6">
        <v>170.7</v>
      </c>
      <c r="H23" s="6">
        <v>193.6</v>
      </c>
      <c r="I23" s="6">
        <v>172</v>
      </c>
      <c r="J23" s="6">
        <f>Y23-I23-H23-G23</f>
        <v>176.59999999999997</v>
      </c>
      <c r="K23" s="6">
        <v>200.2</v>
      </c>
      <c r="L23" s="6">
        <v>216.6</v>
      </c>
      <c r="M23" s="6">
        <v>230.2</v>
      </c>
      <c r="N23" s="6">
        <f t="shared" ref="N23" si="5">Z23-M23-L23-K23</f>
        <v>230.7999999999999</v>
      </c>
      <c r="O23" s="6"/>
      <c r="P23" s="6"/>
      <c r="Q23" s="6"/>
      <c r="R23" s="6"/>
      <c r="T23" s="6">
        <v>444.9</v>
      </c>
      <c r="U23" s="6">
        <v>499</v>
      </c>
      <c r="V23" s="6">
        <v>592.1</v>
      </c>
      <c r="W23" s="6">
        <v>573.1</v>
      </c>
      <c r="X23" s="6">
        <v>634.5</v>
      </c>
      <c r="Y23" s="6">
        <v>712.9</v>
      </c>
      <c r="Z23" s="6">
        <v>877.8</v>
      </c>
      <c r="AA23" s="39">
        <f>Z23*1.25</f>
        <v>1097.25</v>
      </c>
      <c r="AB23" s="6">
        <f>AA23*1.22</f>
        <v>1338.645</v>
      </c>
      <c r="AC23" s="6">
        <f>AB23*1.15</f>
        <v>1539.44175</v>
      </c>
      <c r="AD23" s="6">
        <f>AC23*1.08</f>
        <v>1662.59709</v>
      </c>
      <c r="AE23" s="6">
        <f>AD23*1.06</f>
        <v>1762.3529154</v>
      </c>
      <c r="AF23" s="6">
        <f t="shared" ref="AF23:AJ23" si="6">AE23*1.05</f>
        <v>1850.4705611700001</v>
      </c>
      <c r="AG23" s="6">
        <f t="shared" si="6"/>
        <v>1942.9940892285001</v>
      </c>
      <c r="AH23" s="6">
        <f t="shared" si="6"/>
        <v>2040.1437936899251</v>
      </c>
      <c r="AI23" s="6">
        <f t="shared" si="6"/>
        <v>2142.1509833744217</v>
      </c>
      <c r="AJ23" s="6">
        <f t="shared" si="6"/>
        <v>2249.2585325431428</v>
      </c>
    </row>
    <row r="24" spans="2:36" s="2" customFormat="1">
      <c r="B24" s="2" t="s">
        <v>13</v>
      </c>
      <c r="E24" s="9">
        <f>E22+E23</f>
        <v>274.60000000000002</v>
      </c>
      <c r="G24" s="9">
        <f t="shared" ref="G24:L24" si="7">G22+G23</f>
        <v>277.2</v>
      </c>
      <c r="H24" s="9">
        <f t="shared" si="7"/>
        <v>300.10000000000002</v>
      </c>
      <c r="I24" s="9">
        <f t="shared" si="7"/>
        <v>275.89999999999998</v>
      </c>
      <c r="J24" s="9">
        <f t="shared" si="7"/>
        <v>283.09999999999997</v>
      </c>
      <c r="K24" s="9">
        <f t="shared" si="7"/>
        <v>302.60000000000002</v>
      </c>
      <c r="L24" s="9">
        <f t="shared" si="7"/>
        <v>351.5</v>
      </c>
      <c r="M24" s="9">
        <f t="shared" ref="M24:N24" si="8">M22+M23</f>
        <v>347.6</v>
      </c>
      <c r="N24" s="9">
        <f t="shared" si="8"/>
        <v>345.09999999999991</v>
      </c>
      <c r="O24" s="9">
        <v>340</v>
      </c>
      <c r="P24" s="9">
        <f>L24*1.15</f>
        <v>404.22499999999997</v>
      </c>
      <c r="Q24" s="9">
        <f>M24*1.2</f>
        <v>417.12</v>
      </c>
      <c r="R24" s="9">
        <f>N24*1.25</f>
        <v>431.37499999999989</v>
      </c>
      <c r="T24" s="9">
        <f t="shared" ref="T24:Z24" si="9">T22+T23</f>
        <v>717.5</v>
      </c>
      <c r="U24" s="9">
        <f t="shared" si="9"/>
        <v>747.7</v>
      </c>
      <c r="V24" s="9">
        <f t="shared" si="9"/>
        <v>811.5</v>
      </c>
      <c r="W24" s="9">
        <f t="shared" si="9"/>
        <v>898.3</v>
      </c>
      <c r="X24" s="9">
        <f t="shared" si="9"/>
        <v>1037.0999999999999</v>
      </c>
      <c r="Y24" s="9">
        <f t="shared" si="9"/>
        <v>1136.3</v>
      </c>
      <c r="Z24" s="9">
        <f t="shared" si="9"/>
        <v>1346.8</v>
      </c>
      <c r="AA24" s="9">
        <f>SUM(O24:R24)</f>
        <v>1592.7199999999998</v>
      </c>
      <c r="AB24" s="9">
        <f t="shared" ref="AA24:AJ24" si="10">AB22+AB23</f>
        <v>1900.9760000000001</v>
      </c>
      <c r="AC24" s="9">
        <f t="shared" si="10"/>
        <v>2141.1359200000002</v>
      </c>
      <c r="AD24" s="9">
        <f t="shared" si="10"/>
        <v>2294.3759685000005</v>
      </c>
      <c r="AE24" s="9">
        <f t="shared" si="10"/>
        <v>2425.7207378250005</v>
      </c>
      <c r="AF24" s="9">
        <f t="shared" si="10"/>
        <v>2547.0067747162502</v>
      </c>
      <c r="AG24" s="9">
        <f t="shared" si="10"/>
        <v>2674.357113452063</v>
      </c>
      <c r="AH24" s="9">
        <f t="shared" si="10"/>
        <v>2808.074969124666</v>
      </c>
      <c r="AI24" s="9">
        <f t="shared" si="10"/>
        <v>2948.4787175808997</v>
      </c>
      <c r="AJ24" s="9">
        <f t="shared" si="10"/>
        <v>3095.9026534599448</v>
      </c>
    </row>
    <row r="25" spans="2:36">
      <c r="B25" s="1" t="s">
        <v>16</v>
      </c>
      <c r="E25" s="6">
        <v>79</v>
      </c>
      <c r="G25" s="6">
        <v>79.2</v>
      </c>
      <c r="H25" s="6">
        <v>77</v>
      </c>
      <c r="I25" s="6">
        <v>76.7</v>
      </c>
      <c r="J25" s="6">
        <f t="shared" ref="J25:J26" si="11">Y25-I25-H25-G25</f>
        <v>77.100000000000009</v>
      </c>
      <c r="K25" s="6">
        <v>75.7</v>
      </c>
      <c r="L25" s="6">
        <v>107.2</v>
      </c>
      <c r="M25" s="6">
        <v>91.2</v>
      </c>
      <c r="N25" s="6">
        <f t="shared" ref="N25:N26" si="12">Z25-M25-L25-K25</f>
        <v>82.700000000000031</v>
      </c>
      <c r="O25" s="6"/>
      <c r="P25" s="6"/>
      <c r="Q25" s="6"/>
      <c r="R25" s="6"/>
      <c r="T25" s="6">
        <v>192</v>
      </c>
      <c r="U25" s="6">
        <v>182.5</v>
      </c>
      <c r="V25" s="6">
        <v>156.19999999999999</v>
      </c>
      <c r="W25" s="6">
        <v>239</v>
      </c>
      <c r="X25" s="6">
        <v>303.2</v>
      </c>
      <c r="Y25" s="6">
        <v>310</v>
      </c>
      <c r="Z25" s="6">
        <v>356.8</v>
      </c>
      <c r="AA25" s="6">
        <f>AA22*0.75</f>
        <v>386.92500000000007</v>
      </c>
      <c r="AB25" s="6">
        <f>AB22*0.74</f>
        <v>416.12494000000009</v>
      </c>
      <c r="AC25" s="6">
        <f>AC22*0.73</f>
        <v>439.23674410000012</v>
      </c>
      <c r="AD25" s="6">
        <f>AD22*0.72</f>
        <v>454.88079252000017</v>
      </c>
      <c r="AE25" s="6">
        <f>AE22*0.71</f>
        <v>470.9911539217502</v>
      </c>
      <c r="AF25" s="6">
        <f>AF22*0.7</f>
        <v>487.5753494823752</v>
      </c>
      <c r="AG25" s="6">
        <f t="shared" ref="AG25:AJ25" si="13">AG22*0.7</f>
        <v>511.95411695649398</v>
      </c>
      <c r="AH25" s="6">
        <f t="shared" si="13"/>
        <v>537.5518228043187</v>
      </c>
      <c r="AI25" s="6">
        <f t="shared" si="13"/>
        <v>564.42941394453464</v>
      </c>
      <c r="AJ25" s="6">
        <f t="shared" si="13"/>
        <v>592.65088464176142</v>
      </c>
    </row>
    <row r="26" spans="2:36">
      <c r="B26" s="1" t="s">
        <v>17</v>
      </c>
      <c r="E26" s="6">
        <v>122.2</v>
      </c>
      <c r="G26" s="6">
        <v>127</v>
      </c>
      <c r="H26" s="6">
        <v>145.9</v>
      </c>
      <c r="I26" s="6">
        <v>130</v>
      </c>
      <c r="J26" s="6">
        <f t="shared" si="11"/>
        <v>136.20000000000005</v>
      </c>
      <c r="K26" s="6">
        <v>153.30000000000001</v>
      </c>
      <c r="L26" s="6">
        <v>170.5</v>
      </c>
      <c r="M26" s="6">
        <v>179.3</v>
      </c>
      <c r="N26" s="6">
        <f t="shared" si="12"/>
        <v>179</v>
      </c>
      <c r="O26" s="6"/>
      <c r="P26" s="6"/>
      <c r="Q26" s="6"/>
      <c r="R26" s="6"/>
      <c r="T26" s="6">
        <v>335.5</v>
      </c>
      <c r="U26" s="6">
        <v>362</v>
      </c>
      <c r="V26" s="6">
        <v>430.2</v>
      </c>
      <c r="W26" s="6">
        <v>433.3</v>
      </c>
      <c r="X26" s="6">
        <v>465.3</v>
      </c>
      <c r="Y26" s="6">
        <v>539.1</v>
      </c>
      <c r="Z26" s="6">
        <v>682.1</v>
      </c>
      <c r="AA26" s="6">
        <f>AA23*0.76</f>
        <v>833.91</v>
      </c>
      <c r="AB26" s="6">
        <f>AB23*0.75</f>
        <v>1003.98375</v>
      </c>
      <c r="AC26" s="6">
        <f>AC23*0.74</f>
        <v>1139.186895</v>
      </c>
      <c r="AD26" s="6">
        <f>AD23*0.73</f>
        <v>1213.6958757</v>
      </c>
      <c r="AE26" s="6">
        <f t="shared" ref="AE26:AJ26" si="14">AE23*0.73</f>
        <v>1286.517628242</v>
      </c>
      <c r="AF26" s="6">
        <f t="shared" si="14"/>
        <v>1350.8435096541</v>
      </c>
      <c r="AG26" s="6">
        <f t="shared" si="14"/>
        <v>1418.385685136805</v>
      </c>
      <c r="AH26" s="6">
        <f t="shared" si="14"/>
        <v>1489.3049693936453</v>
      </c>
      <c r="AI26" s="6">
        <f t="shared" si="14"/>
        <v>1563.7702178633278</v>
      </c>
      <c r="AJ26" s="6">
        <f t="shared" si="14"/>
        <v>1641.9587287564941</v>
      </c>
    </row>
    <row r="27" spans="2:36">
      <c r="B27" s="1" t="s">
        <v>18</v>
      </c>
      <c r="E27" s="6">
        <f>E25+E26</f>
        <v>201.2</v>
      </c>
      <c r="G27" s="6">
        <f t="shared" ref="G27:L27" si="15">G25+G26</f>
        <v>206.2</v>
      </c>
      <c r="H27" s="6">
        <f t="shared" si="15"/>
        <v>222.9</v>
      </c>
      <c r="I27" s="6">
        <f t="shared" si="15"/>
        <v>206.7</v>
      </c>
      <c r="J27" s="6">
        <f t="shared" si="15"/>
        <v>213.30000000000007</v>
      </c>
      <c r="K27" s="6">
        <f t="shared" si="15"/>
        <v>229</v>
      </c>
      <c r="L27" s="6">
        <f t="shared" si="15"/>
        <v>277.7</v>
      </c>
      <c r="M27" s="6">
        <f t="shared" ref="M27:N27" si="16">M25+M26</f>
        <v>270.5</v>
      </c>
      <c r="N27" s="6">
        <f t="shared" si="16"/>
        <v>261.70000000000005</v>
      </c>
      <c r="O27" s="6"/>
      <c r="P27" s="6"/>
      <c r="Q27" s="6"/>
      <c r="R27" s="6"/>
      <c r="T27" s="6">
        <f t="shared" ref="T27:AA27" si="17">T25+T26</f>
        <v>527.5</v>
      </c>
      <c r="U27" s="6">
        <f t="shared" si="17"/>
        <v>544.5</v>
      </c>
      <c r="V27" s="6">
        <f t="shared" si="17"/>
        <v>586.4</v>
      </c>
      <c r="W27" s="6">
        <f t="shared" si="17"/>
        <v>672.3</v>
      </c>
      <c r="X27" s="6">
        <f t="shared" si="17"/>
        <v>768.5</v>
      </c>
      <c r="Y27" s="6">
        <f t="shared" si="17"/>
        <v>849.1</v>
      </c>
      <c r="Z27" s="6">
        <f t="shared" si="17"/>
        <v>1038.9000000000001</v>
      </c>
      <c r="AA27" s="6">
        <f t="shared" si="17"/>
        <v>1220.835</v>
      </c>
      <c r="AB27" s="6">
        <f t="shared" ref="AB27:AJ27" si="18">AB25+AB26</f>
        <v>1420.10869</v>
      </c>
      <c r="AC27" s="6">
        <f t="shared" si="18"/>
        <v>1578.4236391000002</v>
      </c>
      <c r="AD27" s="6">
        <f t="shared" si="18"/>
        <v>1668.5766682200001</v>
      </c>
      <c r="AE27" s="6">
        <f t="shared" si="18"/>
        <v>1757.5087821637503</v>
      </c>
      <c r="AF27" s="6">
        <f t="shared" si="18"/>
        <v>1838.4188591364752</v>
      </c>
      <c r="AG27" s="6">
        <f t="shared" si="18"/>
        <v>1930.3398020932991</v>
      </c>
      <c r="AH27" s="6">
        <f t="shared" si="18"/>
        <v>2026.8567921979638</v>
      </c>
      <c r="AI27" s="6">
        <f t="shared" si="18"/>
        <v>2128.1996318078627</v>
      </c>
      <c r="AJ27" s="6">
        <f t="shared" si="18"/>
        <v>2234.6096133982555</v>
      </c>
    </row>
    <row r="28" spans="2:36" s="2" customFormat="1">
      <c r="B28" s="2" t="s">
        <v>12</v>
      </c>
      <c r="E28" s="9">
        <f>E24-E27</f>
        <v>73.400000000000034</v>
      </c>
      <c r="G28" s="9">
        <f t="shared" ref="G28:L28" si="19">G24-G27</f>
        <v>71</v>
      </c>
      <c r="H28" s="9">
        <f t="shared" si="19"/>
        <v>77.200000000000017</v>
      </c>
      <c r="I28" s="9">
        <f t="shared" si="19"/>
        <v>69.199999999999989</v>
      </c>
      <c r="J28" s="9">
        <f t="shared" si="19"/>
        <v>69.799999999999898</v>
      </c>
      <c r="K28" s="9">
        <f t="shared" si="19"/>
        <v>73.600000000000023</v>
      </c>
      <c r="L28" s="9">
        <f t="shared" si="19"/>
        <v>73.800000000000011</v>
      </c>
      <c r="M28" s="9">
        <f t="shared" ref="M28:N28" si="20">M24-M27</f>
        <v>77.100000000000023</v>
      </c>
      <c r="N28" s="9">
        <f t="shared" si="20"/>
        <v>83.399999999999864</v>
      </c>
      <c r="O28" s="9"/>
      <c r="P28" s="9"/>
      <c r="Q28" s="9"/>
      <c r="R28" s="9"/>
      <c r="T28" s="9">
        <f t="shared" ref="T28:AA28" si="21">T24-T27</f>
        <v>190</v>
      </c>
      <c r="U28" s="9">
        <f t="shared" si="21"/>
        <v>203.20000000000005</v>
      </c>
      <c r="V28" s="9">
        <f t="shared" si="21"/>
        <v>225.10000000000002</v>
      </c>
      <c r="W28" s="9">
        <f t="shared" si="21"/>
        <v>226</v>
      </c>
      <c r="X28" s="9">
        <f t="shared" si="21"/>
        <v>268.59999999999991</v>
      </c>
      <c r="Y28" s="9">
        <f t="shared" si="21"/>
        <v>287.19999999999993</v>
      </c>
      <c r="Z28" s="9">
        <f t="shared" si="21"/>
        <v>307.89999999999986</v>
      </c>
      <c r="AA28" s="9">
        <f t="shared" si="21"/>
        <v>371.88499999999976</v>
      </c>
      <c r="AB28" s="9">
        <f t="shared" ref="AB28:AJ28" si="22">AB24-AB27</f>
        <v>480.86731000000009</v>
      </c>
      <c r="AC28" s="9">
        <f t="shared" si="22"/>
        <v>562.7122809</v>
      </c>
      <c r="AD28" s="9">
        <f t="shared" si="22"/>
        <v>625.79930028000035</v>
      </c>
      <c r="AE28" s="9">
        <f t="shared" si="22"/>
        <v>668.21195566125016</v>
      </c>
      <c r="AF28" s="9">
        <f t="shared" si="22"/>
        <v>708.58791557977497</v>
      </c>
      <c r="AG28" s="9">
        <f t="shared" si="22"/>
        <v>744.01731135876389</v>
      </c>
      <c r="AH28" s="9">
        <f t="shared" si="22"/>
        <v>781.2181769267022</v>
      </c>
      <c r="AI28" s="9">
        <f t="shared" si="22"/>
        <v>820.27908577303697</v>
      </c>
      <c r="AJ28" s="9">
        <f t="shared" si="22"/>
        <v>861.29304006168923</v>
      </c>
    </row>
    <row r="29" spans="2:36">
      <c r="B29" s="1" t="s">
        <v>19</v>
      </c>
      <c r="E29" s="6">
        <v>50.9</v>
      </c>
      <c r="G29" s="6">
        <v>54.4</v>
      </c>
      <c r="H29" s="6">
        <v>54.5</v>
      </c>
      <c r="I29" s="6">
        <v>52.6</v>
      </c>
      <c r="J29" s="6">
        <f t="shared" ref="J29:J32" si="23">Y29-I29-H29-G29</f>
        <v>52.500000000000007</v>
      </c>
      <c r="K29" s="6">
        <v>57</v>
      </c>
      <c r="L29" s="6">
        <v>59.9</v>
      </c>
      <c r="M29" s="6">
        <v>59.8</v>
      </c>
      <c r="N29" s="6">
        <f t="shared" ref="N29:N31" si="24">Z29-M29-L29-K29</f>
        <v>63.499999999999972</v>
      </c>
      <c r="O29" s="6"/>
      <c r="P29" s="6"/>
      <c r="Q29" s="6"/>
      <c r="R29" s="6"/>
      <c r="T29" s="6">
        <v>130.80000000000001</v>
      </c>
      <c r="U29" s="6">
        <v>144.5</v>
      </c>
      <c r="V29" s="6">
        <v>160.19999999999999</v>
      </c>
      <c r="W29" s="6">
        <v>182.8</v>
      </c>
      <c r="X29" s="6">
        <v>197.8</v>
      </c>
      <c r="Y29" s="6">
        <v>214</v>
      </c>
      <c r="Z29" s="6">
        <v>240.2</v>
      </c>
      <c r="AA29" s="6">
        <f>Z29*1.04</f>
        <v>249.80799999999999</v>
      </c>
      <c r="AB29" s="6">
        <f>AA29*1.03</f>
        <v>257.30223999999998</v>
      </c>
      <c r="AC29" s="6">
        <f>AB29*1.02</f>
        <v>262.44828480000001</v>
      </c>
      <c r="AD29" s="6">
        <f>AC29*1.02</f>
        <v>267.69725049600004</v>
      </c>
      <c r="AE29" s="6">
        <f>AD29*1.01</f>
        <v>270.37422300096006</v>
      </c>
      <c r="AF29" s="6">
        <f t="shared" ref="AF29:AJ29" si="25">AE29*1.01</f>
        <v>273.07796523096965</v>
      </c>
      <c r="AG29" s="6">
        <f t="shared" si="25"/>
        <v>275.80874488327936</v>
      </c>
      <c r="AH29" s="6">
        <f t="shared" si="25"/>
        <v>278.56683233211214</v>
      </c>
      <c r="AI29" s="6">
        <f t="shared" si="25"/>
        <v>281.35250065543329</v>
      </c>
      <c r="AJ29" s="6">
        <f t="shared" si="25"/>
        <v>284.16602566198765</v>
      </c>
    </row>
    <row r="30" spans="2:36">
      <c r="B30" s="1" t="s">
        <v>41</v>
      </c>
      <c r="E30" s="6">
        <v>0</v>
      </c>
      <c r="G30" s="6"/>
      <c r="H30" s="6"/>
      <c r="I30" s="6">
        <v>0.2</v>
      </c>
      <c r="J30" s="6">
        <f t="shared" si="23"/>
        <v>0.49999999999999994</v>
      </c>
      <c r="K30" s="6"/>
      <c r="L30" s="6"/>
      <c r="M30" s="6">
        <v>0.2</v>
      </c>
      <c r="N30" s="6">
        <f t="shared" si="24"/>
        <v>1.9000000000000001</v>
      </c>
      <c r="O30" s="6"/>
      <c r="P30" s="6"/>
      <c r="Q30" s="6"/>
      <c r="R30" s="6"/>
      <c r="T30" s="6">
        <v>2.2999999999999998</v>
      </c>
      <c r="U30" s="6">
        <v>1.7</v>
      </c>
      <c r="V30" s="6">
        <v>1.8</v>
      </c>
      <c r="W30" s="6">
        <v>0.7</v>
      </c>
      <c r="X30" s="6">
        <v>0.4</v>
      </c>
      <c r="Y30" s="6">
        <v>0.7</v>
      </c>
      <c r="Z30" s="6">
        <v>2.1</v>
      </c>
      <c r="AA30" s="6">
        <v>0</v>
      </c>
      <c r="AB30" s="6">
        <v>0</v>
      </c>
      <c r="AC30" s="6">
        <v>0</v>
      </c>
      <c r="AD30" s="6">
        <v>0</v>
      </c>
      <c r="AE30" s="6">
        <v>0</v>
      </c>
      <c r="AF30" s="6">
        <v>0</v>
      </c>
      <c r="AG30" s="6">
        <v>0</v>
      </c>
      <c r="AH30" s="6">
        <v>0</v>
      </c>
      <c r="AI30" s="6">
        <v>0</v>
      </c>
      <c r="AJ30" s="6">
        <v>0</v>
      </c>
    </row>
    <row r="31" spans="2:36">
      <c r="B31" s="1" t="s">
        <v>20</v>
      </c>
      <c r="E31" s="6">
        <v>10.3</v>
      </c>
      <c r="G31" s="6">
        <v>9.6</v>
      </c>
      <c r="H31" s="6">
        <v>10.199999999999999</v>
      </c>
      <c r="I31" s="6">
        <v>9.9</v>
      </c>
      <c r="J31" s="6">
        <f t="shared" si="23"/>
        <v>10.6</v>
      </c>
      <c r="K31" s="6">
        <v>10</v>
      </c>
      <c r="L31" s="6">
        <v>10.199999999999999</v>
      </c>
      <c r="M31" s="6">
        <v>10</v>
      </c>
      <c r="N31" s="6">
        <f t="shared" si="24"/>
        <v>9.8000000000000007</v>
      </c>
      <c r="O31" s="6">
        <v>11.5</v>
      </c>
      <c r="P31" s="6">
        <v>11.7</v>
      </c>
      <c r="Q31" s="6">
        <v>11.8</v>
      </c>
      <c r="R31" s="6">
        <v>12</v>
      </c>
      <c r="T31" s="6">
        <v>18</v>
      </c>
      <c r="U31" s="6">
        <v>27</v>
      </c>
      <c r="V31" s="6">
        <v>35.200000000000003</v>
      </c>
      <c r="W31" s="6">
        <v>38.6</v>
      </c>
      <c r="X31" s="6">
        <v>38.4</v>
      </c>
      <c r="Y31" s="6">
        <v>40.299999999999997</v>
      </c>
      <c r="Z31" s="6">
        <v>40</v>
      </c>
      <c r="AA31" s="6">
        <f>Z31*1.15</f>
        <v>46</v>
      </c>
      <c r="AB31" s="6">
        <f>AA31*1.08</f>
        <v>49.680000000000007</v>
      </c>
      <c r="AC31" s="6">
        <f>AB31*1.05</f>
        <v>52.164000000000009</v>
      </c>
      <c r="AD31" s="6">
        <f>AC31*1.03</f>
        <v>53.728920000000009</v>
      </c>
      <c r="AE31" s="6">
        <f t="shared" ref="AB31:AJ31" si="26">AD31*1.02</f>
        <v>54.803498400000009</v>
      </c>
      <c r="AF31" s="6">
        <f t="shared" si="26"/>
        <v>55.899568368000011</v>
      </c>
      <c r="AG31" s="6">
        <f t="shared" si="26"/>
        <v>57.01755973536001</v>
      </c>
      <c r="AH31" s="6">
        <f t="shared" si="26"/>
        <v>58.15791093006721</v>
      </c>
      <c r="AI31" s="6">
        <f t="shared" si="26"/>
        <v>59.321069148668556</v>
      </c>
      <c r="AJ31" s="6">
        <f t="shared" si="26"/>
        <v>60.507490531641928</v>
      </c>
    </row>
    <row r="32" spans="2:36">
      <c r="B32" s="1" t="s">
        <v>40</v>
      </c>
      <c r="E32" s="6">
        <v>0</v>
      </c>
      <c r="G32" s="6"/>
      <c r="H32" s="6"/>
      <c r="I32" s="6">
        <v>0</v>
      </c>
      <c r="J32" s="6">
        <f t="shared" si="23"/>
        <v>3.2</v>
      </c>
      <c r="K32" s="6"/>
      <c r="L32" s="6"/>
      <c r="M32" s="6"/>
      <c r="N32" s="6"/>
      <c r="O32" s="6"/>
      <c r="P32" s="6"/>
      <c r="Q32" s="6"/>
      <c r="R32" s="6"/>
      <c r="T32" s="6">
        <v>0.9</v>
      </c>
      <c r="U32" s="6">
        <v>0.7</v>
      </c>
      <c r="V32" s="6">
        <v>0</v>
      </c>
      <c r="W32" s="6">
        <v>6.8</v>
      </c>
      <c r="X32" s="6">
        <v>0.9</v>
      </c>
      <c r="Y32" s="6">
        <v>3.2</v>
      </c>
      <c r="Z32" s="6">
        <f t="shared" ref="Z29:Z32" si="27">SUM(K32:N32)</f>
        <v>0</v>
      </c>
      <c r="AA32" s="6">
        <v>0</v>
      </c>
      <c r="AB32" s="6">
        <v>0</v>
      </c>
      <c r="AC32" s="6">
        <v>0</v>
      </c>
      <c r="AD32" s="6">
        <v>0</v>
      </c>
      <c r="AE32" s="6">
        <v>0</v>
      </c>
      <c r="AF32" s="6">
        <v>0</v>
      </c>
      <c r="AG32" s="6">
        <v>0</v>
      </c>
      <c r="AH32" s="6">
        <v>0</v>
      </c>
      <c r="AI32" s="6">
        <v>0</v>
      </c>
      <c r="AJ32" s="6">
        <v>0</v>
      </c>
    </row>
    <row r="33" spans="2:141">
      <c r="B33" s="1" t="s">
        <v>39</v>
      </c>
      <c r="E33" s="6">
        <f>SUM(E29:E32)</f>
        <v>61.2</v>
      </c>
      <c r="G33" s="6">
        <f>SUM(G29:G31)</f>
        <v>64</v>
      </c>
      <c r="H33" s="6">
        <f>SUM(H29:H31)</f>
        <v>64.7</v>
      </c>
      <c r="I33" s="6">
        <f>SUM(I29:I32)</f>
        <v>62.7</v>
      </c>
      <c r="J33" s="6">
        <f>SUM(J29:J32)</f>
        <v>66.800000000000011</v>
      </c>
      <c r="K33" s="6">
        <f t="shared" ref="K33:L33" si="28">SUM(K29:K31)</f>
        <v>67</v>
      </c>
      <c r="L33" s="6">
        <f t="shared" si="28"/>
        <v>70.099999999999994</v>
      </c>
      <c r="M33" s="6">
        <f t="shared" ref="M33" si="29">SUM(M29:M31)</f>
        <v>70</v>
      </c>
      <c r="N33" s="6">
        <f t="shared" ref="N33" si="30">SUM(N29:N31)</f>
        <v>75.199999999999974</v>
      </c>
      <c r="O33" s="6"/>
      <c r="P33" s="6"/>
      <c r="Q33" s="6"/>
      <c r="R33" s="6"/>
      <c r="T33" s="6">
        <f t="shared" ref="T33:AA33" si="31">SUM(T29:T32)</f>
        <v>152.00000000000003</v>
      </c>
      <c r="U33" s="6">
        <f t="shared" si="31"/>
        <v>173.89999999999998</v>
      </c>
      <c r="V33" s="6">
        <f t="shared" si="31"/>
        <v>197.2</v>
      </c>
      <c r="W33" s="6">
        <f t="shared" si="31"/>
        <v>228.9</v>
      </c>
      <c r="X33" s="6">
        <f t="shared" si="31"/>
        <v>237.50000000000003</v>
      </c>
      <c r="Y33" s="6">
        <f t="shared" si="31"/>
        <v>258.2</v>
      </c>
      <c r="Z33" s="6">
        <f t="shared" si="31"/>
        <v>282.29999999999995</v>
      </c>
      <c r="AA33" s="6">
        <f t="shared" si="31"/>
        <v>295.80799999999999</v>
      </c>
      <c r="AB33" s="6">
        <f t="shared" ref="AB33:AJ33" si="32">SUM(AB29:AB32)</f>
        <v>306.98223999999999</v>
      </c>
      <c r="AC33" s="6">
        <f t="shared" si="32"/>
        <v>314.6122848</v>
      </c>
      <c r="AD33" s="6">
        <f t="shared" si="32"/>
        <v>321.42617049600005</v>
      </c>
      <c r="AE33" s="6">
        <f t="shared" si="32"/>
        <v>325.17772140096008</v>
      </c>
      <c r="AF33" s="6">
        <f t="shared" si="32"/>
        <v>328.97753359896967</v>
      </c>
      <c r="AG33" s="6">
        <f t="shared" si="32"/>
        <v>332.82630461863937</v>
      </c>
      <c r="AH33" s="6">
        <f t="shared" si="32"/>
        <v>336.72474326217935</v>
      </c>
      <c r="AI33" s="6">
        <f t="shared" si="32"/>
        <v>340.67356980410182</v>
      </c>
      <c r="AJ33" s="6">
        <f t="shared" si="32"/>
        <v>344.67351619362955</v>
      </c>
    </row>
    <row r="34" spans="2:141" s="2" customFormat="1">
      <c r="B34" s="2" t="s">
        <v>21</v>
      </c>
      <c r="E34" s="9">
        <f>E28-E33</f>
        <v>12.200000000000031</v>
      </c>
      <c r="G34" s="9">
        <f t="shared" ref="G34:H34" si="33">G28-G33</f>
        <v>7</v>
      </c>
      <c r="H34" s="9">
        <f t="shared" si="33"/>
        <v>12.500000000000014</v>
      </c>
      <c r="I34" s="9">
        <f>I28-I33</f>
        <v>6.4999999999999858</v>
      </c>
      <c r="J34" s="9">
        <f>J28-J33</f>
        <v>2.9999999999998863</v>
      </c>
      <c r="K34" s="9">
        <f t="shared" ref="K34" si="34">K28-K33</f>
        <v>6.6000000000000227</v>
      </c>
      <c r="L34" s="9">
        <f>L28-L33</f>
        <v>3.7000000000000171</v>
      </c>
      <c r="M34" s="9">
        <f t="shared" ref="M34:N34" si="35">M28-M33</f>
        <v>7.1000000000000227</v>
      </c>
      <c r="N34" s="9">
        <f t="shared" si="35"/>
        <v>8.1999999999998892</v>
      </c>
      <c r="O34" s="9">
        <v>3</v>
      </c>
      <c r="P34" s="9"/>
      <c r="Q34" s="9"/>
      <c r="R34" s="9"/>
      <c r="T34" s="9">
        <f t="shared" ref="T34:AA34" si="36">T28-T33</f>
        <v>37.999999999999972</v>
      </c>
      <c r="U34" s="9">
        <f t="shared" si="36"/>
        <v>29.300000000000068</v>
      </c>
      <c r="V34" s="9">
        <f t="shared" si="36"/>
        <v>27.900000000000034</v>
      </c>
      <c r="W34" s="9">
        <f t="shared" si="36"/>
        <v>-2.9000000000000057</v>
      </c>
      <c r="X34" s="9">
        <f t="shared" si="36"/>
        <v>31.099999999999881</v>
      </c>
      <c r="Y34" s="9">
        <f t="shared" si="36"/>
        <v>28.999999999999943</v>
      </c>
      <c r="Z34" s="9">
        <f t="shared" si="36"/>
        <v>25.599999999999909</v>
      </c>
      <c r="AA34" s="9">
        <f t="shared" si="36"/>
        <v>76.076999999999771</v>
      </c>
      <c r="AB34" s="9">
        <f t="shared" ref="AB34:AJ34" si="37">AB28-AB33</f>
        <v>173.8850700000001</v>
      </c>
      <c r="AC34" s="9">
        <f t="shared" si="37"/>
        <v>248.0999961</v>
      </c>
      <c r="AD34" s="9">
        <f t="shared" si="37"/>
        <v>304.3731297840003</v>
      </c>
      <c r="AE34" s="9">
        <f t="shared" si="37"/>
        <v>343.03423426029008</v>
      </c>
      <c r="AF34" s="9">
        <f t="shared" si="37"/>
        <v>379.6103819808053</v>
      </c>
      <c r="AG34" s="9">
        <f t="shared" si="37"/>
        <v>411.19100674012452</v>
      </c>
      <c r="AH34" s="9">
        <f t="shared" si="37"/>
        <v>444.49343366452285</v>
      </c>
      <c r="AI34" s="9">
        <f t="shared" si="37"/>
        <v>479.60551596893515</v>
      </c>
      <c r="AJ34" s="9">
        <f t="shared" si="37"/>
        <v>516.61952386805967</v>
      </c>
    </row>
    <row r="35" spans="2:141">
      <c r="B35" s="1" t="s">
        <v>22</v>
      </c>
      <c r="E35" s="6">
        <v>5.0999999999999996</v>
      </c>
      <c r="G35" s="6">
        <v>2.8</v>
      </c>
      <c r="H35" s="6">
        <v>-0.1</v>
      </c>
      <c r="I35" s="6">
        <v>0</v>
      </c>
      <c r="J35" s="6">
        <f t="shared" ref="J35:J36" si="38">Y35-I35-H35-G35</f>
        <v>0.30000000000000027</v>
      </c>
      <c r="K35" s="6">
        <v>0.9</v>
      </c>
      <c r="L35" s="6">
        <v>1.2</v>
      </c>
      <c r="M35" s="6">
        <v>-0.2</v>
      </c>
      <c r="N35" s="6">
        <f t="shared" ref="N35:N36" si="39">Z35-M35-L35-K35</f>
        <v>-7.8000000000000007</v>
      </c>
      <c r="O35" s="6"/>
      <c r="P35" s="6"/>
      <c r="Q35" s="6"/>
      <c r="R35" s="6"/>
      <c r="T35" s="6">
        <v>21.6</v>
      </c>
      <c r="U35" s="6">
        <v>22.8</v>
      </c>
      <c r="V35" s="6">
        <v>23.4</v>
      </c>
      <c r="W35" s="6">
        <v>17.7</v>
      </c>
      <c r="X35" s="6">
        <v>20.5</v>
      </c>
      <c r="Y35" s="6">
        <v>3</v>
      </c>
      <c r="Z35" s="6">
        <v>-5.9</v>
      </c>
      <c r="AA35" s="6">
        <f>Z35*1.03</f>
        <v>-6.0770000000000008</v>
      </c>
      <c r="AB35" s="6">
        <f t="shared" ref="AB35:AJ35" si="40">AA35*1.03</f>
        <v>-6.259310000000001</v>
      </c>
      <c r="AC35" s="6">
        <f t="shared" si="40"/>
        <v>-6.4470893000000009</v>
      </c>
      <c r="AD35" s="6">
        <f t="shared" si="40"/>
        <v>-6.6405019790000015</v>
      </c>
      <c r="AE35" s="6">
        <f t="shared" si="40"/>
        <v>-6.8397170383700017</v>
      </c>
      <c r="AF35" s="6">
        <f t="shared" si="40"/>
        <v>-7.0449085495211019</v>
      </c>
      <c r="AG35" s="6">
        <f t="shared" si="40"/>
        <v>-7.2562558060067355</v>
      </c>
      <c r="AH35" s="6">
        <f t="shared" si="40"/>
        <v>-7.4739434801869375</v>
      </c>
      <c r="AI35" s="6">
        <f t="shared" si="40"/>
        <v>-7.6981617845925463</v>
      </c>
      <c r="AJ35" s="6">
        <f t="shared" si="40"/>
        <v>-7.9291066381303228</v>
      </c>
    </row>
    <row r="36" spans="2:141">
      <c r="B36" s="1" t="s">
        <v>23</v>
      </c>
      <c r="E36" s="6">
        <v>0.3</v>
      </c>
      <c r="G36" s="6">
        <v>0.2</v>
      </c>
      <c r="H36" s="6">
        <v>-0.1</v>
      </c>
      <c r="I36" s="6">
        <v>0.7</v>
      </c>
      <c r="J36" s="6">
        <f t="shared" si="38"/>
        <v>-1.2999999999999998</v>
      </c>
      <c r="K36" s="6">
        <v>0.3</v>
      </c>
      <c r="L36" s="6">
        <v>-2.1</v>
      </c>
      <c r="M36" s="6">
        <v>-4.8</v>
      </c>
      <c r="N36" s="6">
        <f t="shared" si="39"/>
        <v>4.1000000000000005</v>
      </c>
      <c r="O36" s="6"/>
      <c r="P36" s="6"/>
      <c r="Q36" s="6"/>
      <c r="R36" s="6"/>
      <c r="T36" s="6">
        <v>0.7</v>
      </c>
      <c r="U36" s="6">
        <v>-0.3</v>
      </c>
      <c r="V36" s="6">
        <v>0.1</v>
      </c>
      <c r="W36" s="6">
        <f>13-0.6</f>
        <v>12.4</v>
      </c>
      <c r="X36" s="6">
        <v>-0.5</v>
      </c>
      <c r="Y36" s="6">
        <v>-0.5</v>
      </c>
      <c r="Z36" s="6">
        <v>-2.5</v>
      </c>
      <c r="AA36" s="6">
        <v>0</v>
      </c>
      <c r="AB36" s="6">
        <v>0</v>
      </c>
      <c r="AC36" s="6">
        <v>0</v>
      </c>
      <c r="AD36" s="6">
        <v>0</v>
      </c>
      <c r="AE36" s="6">
        <v>0</v>
      </c>
      <c r="AF36" s="6">
        <v>0</v>
      </c>
      <c r="AG36" s="6">
        <v>0</v>
      </c>
      <c r="AH36" s="6">
        <v>0</v>
      </c>
      <c r="AI36" s="6">
        <v>0</v>
      </c>
      <c r="AJ36" s="6">
        <v>0</v>
      </c>
    </row>
    <row r="37" spans="2:141" s="2" customFormat="1">
      <c r="B37" s="2" t="s">
        <v>24</v>
      </c>
      <c r="E37" s="9">
        <f>E34-E35-E36</f>
        <v>6.8000000000000318</v>
      </c>
      <c r="G37" s="9">
        <f t="shared" ref="G37:L37" si="41">G34-G35-G36</f>
        <v>4</v>
      </c>
      <c r="H37" s="9">
        <f t="shared" si="41"/>
        <v>12.700000000000014</v>
      </c>
      <c r="I37" s="9">
        <f t="shared" si="41"/>
        <v>5.7999999999999856</v>
      </c>
      <c r="J37" s="9">
        <f t="shared" si="41"/>
        <v>3.9999999999998859</v>
      </c>
      <c r="K37" s="9">
        <f t="shared" si="41"/>
        <v>5.4000000000000226</v>
      </c>
      <c r="L37" s="9">
        <f t="shared" si="41"/>
        <v>4.6000000000000174</v>
      </c>
      <c r="M37" s="9">
        <f t="shared" ref="M37:N37" si="42">M34-M35-M36</f>
        <v>12.100000000000023</v>
      </c>
      <c r="N37" s="9">
        <f t="shared" si="42"/>
        <v>11.899999999999888</v>
      </c>
      <c r="O37" s="9"/>
      <c r="P37" s="9"/>
      <c r="Q37" s="9"/>
      <c r="R37" s="9"/>
      <c r="T37" s="9">
        <f t="shared" ref="T37:AA37" si="43">T34-T35-T36</f>
        <v>15.699999999999971</v>
      </c>
      <c r="U37" s="9">
        <f t="shared" si="43"/>
        <v>6.8000000000000673</v>
      </c>
      <c r="V37" s="9">
        <f t="shared" si="43"/>
        <v>4.4000000000000359</v>
      </c>
      <c r="W37" s="9">
        <f t="shared" si="43"/>
        <v>-33.000000000000007</v>
      </c>
      <c r="X37" s="9">
        <f t="shared" si="43"/>
        <v>11.099999999999881</v>
      </c>
      <c r="Y37" s="9">
        <f t="shared" si="43"/>
        <v>26.499999999999943</v>
      </c>
      <c r="Z37" s="9">
        <f t="shared" si="43"/>
        <v>33.999999999999908</v>
      </c>
      <c r="AA37" s="9">
        <f t="shared" si="43"/>
        <v>82.153999999999769</v>
      </c>
      <c r="AB37" s="9">
        <f t="shared" ref="AB37:AJ37" si="44">AB34-AB35-AB36</f>
        <v>180.1443800000001</v>
      </c>
      <c r="AC37" s="9">
        <f t="shared" si="44"/>
        <v>254.54708539999999</v>
      </c>
      <c r="AD37" s="9">
        <f t="shared" si="44"/>
        <v>311.01363176300032</v>
      </c>
      <c r="AE37" s="9">
        <f t="shared" si="44"/>
        <v>349.87395129866007</v>
      </c>
      <c r="AF37" s="9">
        <f t="shared" si="44"/>
        <v>386.6552905303264</v>
      </c>
      <c r="AG37" s="9">
        <f t="shared" si="44"/>
        <v>418.44726254613124</v>
      </c>
      <c r="AH37" s="9">
        <f t="shared" si="44"/>
        <v>451.96737714470981</v>
      </c>
      <c r="AI37" s="9">
        <f t="shared" si="44"/>
        <v>487.30367775352772</v>
      </c>
      <c r="AJ37" s="9">
        <f t="shared" si="44"/>
        <v>524.54863050618997</v>
      </c>
    </row>
    <row r="38" spans="2:141">
      <c r="B38" s="1" t="s">
        <v>25</v>
      </c>
      <c r="E38" s="6">
        <v>3.8</v>
      </c>
      <c r="G38" s="6">
        <v>2.7</v>
      </c>
      <c r="H38" s="6">
        <v>4.8</v>
      </c>
      <c r="I38" s="6">
        <v>2.6</v>
      </c>
      <c r="J38" s="6">
        <f>Y38-I38-H38-G38</f>
        <v>9.9999999999999645E-2</v>
      </c>
      <c r="K38" s="6">
        <v>0.9</v>
      </c>
      <c r="L38" s="6">
        <v>1.7</v>
      </c>
      <c r="M38" s="6">
        <v>3.2</v>
      </c>
      <c r="N38" s="6">
        <f>Z38-M38-L38-K38</f>
        <v>6.2</v>
      </c>
      <c r="O38" s="6"/>
      <c r="P38" s="6"/>
      <c r="Q38" s="6"/>
      <c r="R38" s="6"/>
      <c r="T38" s="6">
        <v>4.8</v>
      </c>
      <c r="U38" s="6">
        <v>-73.5</v>
      </c>
      <c r="V38" s="6">
        <v>3.9</v>
      </c>
      <c r="W38" s="6">
        <v>0.2</v>
      </c>
      <c r="X38" s="6">
        <v>8.6999999999999993</v>
      </c>
      <c r="Y38" s="6">
        <v>10.199999999999999</v>
      </c>
      <c r="Z38" s="6">
        <v>12</v>
      </c>
      <c r="AA38" s="6">
        <f>AA37*0.2</f>
        <v>16.430799999999955</v>
      </c>
      <c r="AB38" s="6">
        <f t="shared" ref="AB38:AJ38" si="45">AB37*0.2</f>
        <v>36.028876000000018</v>
      </c>
      <c r="AC38" s="6">
        <f t="shared" si="45"/>
        <v>50.909417079999997</v>
      </c>
      <c r="AD38" s="6">
        <f t="shared" si="45"/>
        <v>62.202726352600067</v>
      </c>
      <c r="AE38" s="6">
        <f t="shared" si="45"/>
        <v>69.974790259732018</v>
      </c>
      <c r="AF38" s="6">
        <f t="shared" si="45"/>
        <v>77.331058106065285</v>
      </c>
      <c r="AG38" s="6">
        <f t="shared" si="45"/>
        <v>83.689452509226257</v>
      </c>
      <c r="AH38" s="6">
        <f t="shared" si="45"/>
        <v>90.393475428941969</v>
      </c>
      <c r="AI38" s="6">
        <f t="shared" si="45"/>
        <v>97.46073555070555</v>
      </c>
      <c r="AJ38" s="6">
        <f t="shared" si="45"/>
        <v>104.90972610123799</v>
      </c>
    </row>
    <row r="39" spans="2:141" s="2" customFormat="1">
      <c r="B39" s="2" t="s">
        <v>26</v>
      </c>
      <c r="E39" s="9">
        <f>E37-E38</f>
        <v>3.000000000000032</v>
      </c>
      <c r="G39" s="9">
        <f t="shared" ref="G39:L39" si="46">G37-G38</f>
        <v>1.2999999999999998</v>
      </c>
      <c r="H39" s="9">
        <f t="shared" si="46"/>
        <v>7.9000000000000137</v>
      </c>
      <c r="I39" s="9">
        <f t="shared" si="46"/>
        <v>3.1999999999999855</v>
      </c>
      <c r="J39" s="9">
        <f t="shared" si="46"/>
        <v>3.8999999999998862</v>
      </c>
      <c r="K39" s="9">
        <f t="shared" si="46"/>
        <v>4.5000000000000222</v>
      </c>
      <c r="L39" s="9">
        <f t="shared" si="46"/>
        <v>2.9000000000000172</v>
      </c>
      <c r="M39" s="9">
        <f t="shared" ref="M39:N39" si="47">M37-M38</f>
        <v>8.9000000000000234</v>
      </c>
      <c r="N39" s="9">
        <f t="shared" si="47"/>
        <v>5.6999999999998883</v>
      </c>
      <c r="O39" s="9"/>
      <c r="P39" s="9"/>
      <c r="Q39" s="9"/>
      <c r="R39" s="9"/>
      <c r="T39" s="9">
        <f t="shared" ref="T39:AA39" si="48">T37-T38</f>
        <v>10.89999999999997</v>
      </c>
      <c r="U39" s="9">
        <f t="shared" si="48"/>
        <v>80.300000000000068</v>
      </c>
      <c r="V39" s="9">
        <f t="shared" si="48"/>
        <v>0.50000000000003597</v>
      </c>
      <c r="W39" s="9">
        <f t="shared" si="48"/>
        <v>-33.20000000000001</v>
      </c>
      <c r="X39" s="9">
        <f t="shared" si="48"/>
        <v>2.3999999999998813</v>
      </c>
      <c r="Y39" s="9">
        <f t="shared" si="48"/>
        <v>16.299999999999944</v>
      </c>
      <c r="Z39" s="9">
        <f t="shared" si="48"/>
        <v>21.999999999999908</v>
      </c>
      <c r="AA39" s="9">
        <f t="shared" si="48"/>
        <v>65.723199999999821</v>
      </c>
      <c r="AB39" s="9">
        <f t="shared" ref="AB39:AJ39" si="49">AB37-AB38</f>
        <v>144.11550400000007</v>
      </c>
      <c r="AC39" s="9">
        <f t="shared" si="49"/>
        <v>203.63766831999999</v>
      </c>
      <c r="AD39" s="9">
        <f t="shared" si="49"/>
        <v>248.81090541040027</v>
      </c>
      <c r="AE39" s="9">
        <f t="shared" si="49"/>
        <v>279.89916103892807</v>
      </c>
      <c r="AF39" s="9">
        <f t="shared" si="49"/>
        <v>309.32423242426114</v>
      </c>
      <c r="AG39" s="9">
        <f t="shared" si="49"/>
        <v>334.75781003690497</v>
      </c>
      <c r="AH39" s="9">
        <f t="shared" si="49"/>
        <v>361.57390171576787</v>
      </c>
      <c r="AI39" s="9">
        <f t="shared" si="49"/>
        <v>389.8429422028222</v>
      </c>
      <c r="AJ39" s="9">
        <f t="shared" si="49"/>
        <v>419.63890440495197</v>
      </c>
      <c r="AK39" s="2">
        <f>AJ39*(1+$AM$45)</f>
        <v>415.44251536090246</v>
      </c>
      <c r="AL39" s="2">
        <f t="shared" ref="AL39:CW39" si="50">AK39*(1+$AM$45)</f>
        <v>411.28809020729341</v>
      </c>
      <c r="AM39" s="2">
        <f t="shared" si="50"/>
        <v>407.17520930522045</v>
      </c>
      <c r="AN39" s="2">
        <f t="shared" si="50"/>
        <v>403.10345721216822</v>
      </c>
      <c r="AO39" s="2">
        <f t="shared" si="50"/>
        <v>399.07242264004651</v>
      </c>
      <c r="AP39" s="2">
        <f t="shared" si="50"/>
        <v>395.08169841364605</v>
      </c>
      <c r="AQ39" s="2">
        <f t="shared" si="50"/>
        <v>391.1308814295096</v>
      </c>
      <c r="AR39" s="2">
        <f t="shared" si="50"/>
        <v>387.21957261521447</v>
      </c>
      <c r="AS39" s="2">
        <f t="shared" si="50"/>
        <v>383.34737688906233</v>
      </c>
      <c r="AT39" s="2">
        <f t="shared" si="50"/>
        <v>379.51390312017173</v>
      </c>
      <c r="AU39" s="2">
        <f t="shared" si="50"/>
        <v>375.71876408897003</v>
      </c>
      <c r="AV39" s="2">
        <f t="shared" si="50"/>
        <v>371.96157644808034</v>
      </c>
      <c r="AW39" s="2">
        <f t="shared" si="50"/>
        <v>368.24196068359953</v>
      </c>
      <c r="AX39" s="2">
        <f t="shared" si="50"/>
        <v>364.55954107676354</v>
      </c>
      <c r="AY39" s="2">
        <f t="shared" si="50"/>
        <v>360.91394566599593</v>
      </c>
      <c r="AZ39" s="2">
        <f t="shared" si="50"/>
        <v>357.30480620933594</v>
      </c>
      <c r="BA39" s="2">
        <f t="shared" si="50"/>
        <v>353.7317581472426</v>
      </c>
      <c r="BB39" s="2">
        <f t="shared" si="50"/>
        <v>350.19444056577015</v>
      </c>
      <c r="BC39" s="2">
        <f t="shared" si="50"/>
        <v>346.69249616011246</v>
      </c>
      <c r="BD39" s="2">
        <f t="shared" si="50"/>
        <v>343.22557119851132</v>
      </c>
      <c r="BE39" s="2">
        <f t="shared" si="50"/>
        <v>339.79331548652618</v>
      </c>
      <c r="BF39" s="2">
        <f t="shared" si="50"/>
        <v>336.39538233166093</v>
      </c>
      <c r="BG39" s="2">
        <f t="shared" si="50"/>
        <v>333.03142850834433</v>
      </c>
      <c r="BH39" s="2">
        <f t="shared" si="50"/>
        <v>329.7011142232609</v>
      </c>
      <c r="BI39" s="2">
        <f t="shared" si="50"/>
        <v>326.40410308102827</v>
      </c>
      <c r="BJ39" s="2">
        <f t="shared" si="50"/>
        <v>323.14006205021798</v>
      </c>
      <c r="BK39" s="2">
        <f t="shared" si="50"/>
        <v>319.90866142971578</v>
      </c>
      <c r="BL39" s="2">
        <f t="shared" si="50"/>
        <v>316.70957481541859</v>
      </c>
      <c r="BM39" s="2">
        <f t="shared" si="50"/>
        <v>313.54247906726442</v>
      </c>
      <c r="BN39" s="2">
        <f t="shared" si="50"/>
        <v>310.40705427659179</v>
      </c>
      <c r="BO39" s="2">
        <f t="shared" si="50"/>
        <v>307.3029837338259</v>
      </c>
      <c r="BP39" s="2">
        <f t="shared" si="50"/>
        <v>304.22995389648764</v>
      </c>
      <c r="BQ39" s="2">
        <f t="shared" si="50"/>
        <v>301.18765435752277</v>
      </c>
      <c r="BR39" s="2">
        <f t="shared" si="50"/>
        <v>298.17577781394755</v>
      </c>
      <c r="BS39" s="2">
        <f t="shared" si="50"/>
        <v>295.19402003580808</v>
      </c>
      <c r="BT39" s="2">
        <f t="shared" si="50"/>
        <v>292.24207983545</v>
      </c>
      <c r="BU39" s="2">
        <f t="shared" si="50"/>
        <v>289.31965903709551</v>
      </c>
      <c r="BV39" s="2">
        <f t="shared" si="50"/>
        <v>286.42646244672454</v>
      </c>
      <c r="BW39" s="2">
        <f t="shared" si="50"/>
        <v>283.5621978222573</v>
      </c>
      <c r="BX39" s="2">
        <f t="shared" si="50"/>
        <v>280.72657584403476</v>
      </c>
      <c r="BY39" s="2">
        <f t="shared" si="50"/>
        <v>277.91931008559442</v>
      </c>
      <c r="BZ39" s="2">
        <f t="shared" si="50"/>
        <v>275.14011698473848</v>
      </c>
      <c r="CA39" s="2">
        <f t="shared" si="50"/>
        <v>272.3887158148911</v>
      </c>
      <c r="CB39" s="2">
        <f t="shared" si="50"/>
        <v>269.6648286567422</v>
      </c>
      <c r="CC39" s="2">
        <f t="shared" si="50"/>
        <v>266.96818037017476</v>
      </c>
      <c r="CD39" s="2">
        <f t="shared" si="50"/>
        <v>264.29849856647303</v>
      </c>
      <c r="CE39" s="2">
        <f t="shared" si="50"/>
        <v>261.6555135808083</v>
      </c>
      <c r="CF39" s="2">
        <f t="shared" si="50"/>
        <v>259.03895844500022</v>
      </c>
      <c r="CG39" s="2">
        <f t="shared" si="50"/>
        <v>256.44856886055021</v>
      </c>
      <c r="CH39" s="2">
        <f t="shared" si="50"/>
        <v>253.8840831719447</v>
      </c>
      <c r="CI39" s="2">
        <f t="shared" si="50"/>
        <v>251.34524234022524</v>
      </c>
      <c r="CJ39" s="2">
        <f t="shared" si="50"/>
        <v>248.831789916823</v>
      </c>
      <c r="CK39" s="2">
        <f t="shared" si="50"/>
        <v>246.34347201765476</v>
      </c>
      <c r="CL39" s="2">
        <f t="shared" si="50"/>
        <v>243.88003729747822</v>
      </c>
      <c r="CM39" s="2">
        <f t="shared" si="50"/>
        <v>241.44123692450344</v>
      </c>
      <c r="CN39" s="2">
        <f t="shared" si="50"/>
        <v>239.0268245552584</v>
      </c>
      <c r="CO39" s="2">
        <f t="shared" si="50"/>
        <v>236.63655630970581</v>
      </c>
      <c r="CP39" s="2">
        <f t="shared" si="50"/>
        <v>234.27019074660876</v>
      </c>
      <c r="CQ39" s="2">
        <f t="shared" si="50"/>
        <v>231.92748883914268</v>
      </c>
      <c r="CR39" s="2">
        <f t="shared" si="50"/>
        <v>229.60821395075126</v>
      </c>
      <c r="CS39" s="2">
        <f t="shared" si="50"/>
        <v>227.31213181124375</v>
      </c>
      <c r="CT39" s="2">
        <f t="shared" si="50"/>
        <v>225.03901049313131</v>
      </c>
      <c r="CU39" s="2">
        <f t="shared" si="50"/>
        <v>222.7886203882</v>
      </c>
      <c r="CV39" s="2">
        <f t="shared" si="50"/>
        <v>220.56073418431799</v>
      </c>
      <c r="CW39" s="2">
        <f t="shared" si="50"/>
        <v>218.35512684247482</v>
      </c>
      <c r="CX39" s="2">
        <f t="shared" ref="CX39:EK39" si="51">CW39*(1+$AM$45)</f>
        <v>216.17157557405008</v>
      </c>
      <c r="CY39" s="2">
        <f t="shared" si="51"/>
        <v>214.00985981830956</v>
      </c>
      <c r="CZ39" s="2">
        <f t="shared" si="51"/>
        <v>211.86976122012646</v>
      </c>
      <c r="DA39" s="2">
        <f t="shared" si="51"/>
        <v>209.7510636079252</v>
      </c>
      <c r="DB39" s="2">
        <f t="shared" si="51"/>
        <v>207.65355297184595</v>
      </c>
      <c r="DC39" s="2">
        <f t="shared" si="51"/>
        <v>205.5770174421275</v>
      </c>
      <c r="DD39" s="2">
        <f t="shared" si="51"/>
        <v>203.52124726770623</v>
      </c>
      <c r="DE39" s="2">
        <f t="shared" si="51"/>
        <v>201.48603479502916</v>
      </c>
      <c r="DF39" s="2">
        <f t="shared" si="51"/>
        <v>199.47117444707885</v>
      </c>
      <c r="DG39" s="2">
        <f t="shared" si="51"/>
        <v>197.47646270260807</v>
      </c>
      <c r="DH39" s="2">
        <f t="shared" si="51"/>
        <v>195.501698075582</v>
      </c>
      <c r="DI39" s="2">
        <f t="shared" si="51"/>
        <v>193.54668109482617</v>
      </c>
      <c r="DJ39" s="2">
        <f t="shared" si="51"/>
        <v>191.6112142838779</v>
      </c>
      <c r="DK39" s="2">
        <f t="shared" si="51"/>
        <v>189.69510214103911</v>
      </c>
      <c r="DL39" s="2">
        <f t="shared" si="51"/>
        <v>187.79815111962873</v>
      </c>
      <c r="DM39" s="2">
        <f t="shared" si="51"/>
        <v>185.92016960843245</v>
      </c>
      <c r="DN39" s="2">
        <f t="shared" si="51"/>
        <v>184.06096791234813</v>
      </c>
      <c r="DO39" s="2">
        <f t="shared" si="51"/>
        <v>182.22035823322466</v>
      </c>
      <c r="DP39" s="2">
        <f t="shared" si="51"/>
        <v>180.39815465089242</v>
      </c>
      <c r="DQ39" s="2">
        <f t="shared" si="51"/>
        <v>178.59417310438349</v>
      </c>
      <c r="DR39" s="2">
        <f t="shared" si="51"/>
        <v>176.80823137333965</v>
      </c>
      <c r="DS39" s="2">
        <f t="shared" si="51"/>
        <v>175.04014905960625</v>
      </c>
      <c r="DT39" s="2">
        <f t="shared" si="51"/>
        <v>173.28974756901019</v>
      </c>
      <c r="DU39" s="2">
        <f t="shared" si="51"/>
        <v>171.55685009332009</v>
      </c>
      <c r="DV39" s="2">
        <f t="shared" si="51"/>
        <v>169.84128159238688</v>
      </c>
      <c r="DW39" s="2">
        <f t="shared" si="51"/>
        <v>168.14286877646302</v>
      </c>
      <c r="DX39" s="2">
        <f t="shared" si="51"/>
        <v>166.4614400886984</v>
      </c>
      <c r="DY39" s="2">
        <f t="shared" si="51"/>
        <v>164.79682568781141</v>
      </c>
      <c r="DZ39" s="2">
        <f t="shared" si="51"/>
        <v>163.1488574309333</v>
      </c>
      <c r="EA39" s="2">
        <f t="shared" si="51"/>
        <v>161.51736885662396</v>
      </c>
      <c r="EB39" s="2">
        <f t="shared" si="51"/>
        <v>159.90219516805772</v>
      </c>
      <c r="EC39" s="2">
        <f t="shared" si="51"/>
        <v>158.30317321637713</v>
      </c>
      <c r="ED39" s="2">
        <f t="shared" si="51"/>
        <v>156.72014148421337</v>
      </c>
      <c r="EE39" s="2">
        <f t="shared" si="51"/>
        <v>155.15294006937123</v>
      </c>
      <c r="EF39" s="2">
        <f t="shared" si="51"/>
        <v>153.60141066867752</v>
      </c>
      <c r="EG39" s="2">
        <f t="shared" si="51"/>
        <v>152.06539656199075</v>
      </c>
      <c r="EH39" s="2">
        <f t="shared" si="51"/>
        <v>150.54474259637084</v>
      </c>
      <c r="EI39" s="2">
        <f t="shared" si="51"/>
        <v>149.03929517040712</v>
      </c>
      <c r="EJ39" s="2">
        <f t="shared" si="51"/>
        <v>147.54890221870303</v>
      </c>
      <c r="EK39" s="2">
        <f t="shared" si="51"/>
        <v>146.07341319651601</v>
      </c>
    </row>
    <row r="40" spans="2:141">
      <c r="B40" s="1" t="s">
        <v>2</v>
      </c>
      <c r="E40" s="6">
        <f>168.8</f>
        <v>168.8</v>
      </c>
      <c r="G40" s="6">
        <f t="shared" ref="G40:L40" si="52">168.8</f>
        <v>168.8</v>
      </c>
      <c r="H40" s="6">
        <f t="shared" si="52"/>
        <v>168.8</v>
      </c>
      <c r="I40" s="6">
        <f t="shared" si="52"/>
        <v>168.8</v>
      </c>
      <c r="J40" s="6">
        <f t="shared" si="52"/>
        <v>168.8</v>
      </c>
      <c r="K40" s="6">
        <f t="shared" si="52"/>
        <v>168.8</v>
      </c>
      <c r="L40" s="6">
        <f t="shared" si="52"/>
        <v>168.8</v>
      </c>
      <c r="M40" s="6">
        <f>168.8</f>
        <v>168.8</v>
      </c>
      <c r="N40" s="6">
        <f>170.3</f>
        <v>170.3</v>
      </c>
      <c r="O40" s="6"/>
      <c r="P40" s="6"/>
      <c r="Q40" s="6"/>
      <c r="R40" s="6"/>
      <c r="T40" s="6">
        <f t="shared" ref="T40:Y40" si="53">168.8</f>
        <v>168.8</v>
      </c>
      <c r="U40" s="6">
        <f t="shared" si="53"/>
        <v>168.8</v>
      </c>
      <c r="V40" s="6">
        <f t="shared" si="53"/>
        <v>168.8</v>
      </c>
      <c r="W40" s="6">
        <f t="shared" si="53"/>
        <v>168.8</v>
      </c>
      <c r="X40" s="6">
        <f t="shared" si="53"/>
        <v>168.8</v>
      </c>
      <c r="Y40" s="6">
        <f t="shared" si="53"/>
        <v>168.8</v>
      </c>
      <c r="Z40" s="6">
        <f>170.3</f>
        <v>170.3</v>
      </c>
      <c r="AA40" s="6">
        <f>170.3</f>
        <v>170.3</v>
      </c>
      <c r="AB40" s="6">
        <f>170.3</f>
        <v>170.3</v>
      </c>
      <c r="AC40" s="6">
        <f>170.3</f>
        <v>170.3</v>
      </c>
      <c r="AD40" s="6">
        <f>170.3</f>
        <v>170.3</v>
      </c>
      <c r="AE40" s="6">
        <f>170.3</f>
        <v>170.3</v>
      </c>
      <c r="AF40" s="6">
        <f>170.3</f>
        <v>170.3</v>
      </c>
      <c r="AG40" s="6">
        <f>170.3</f>
        <v>170.3</v>
      </c>
      <c r="AH40" s="6">
        <f>170.3</f>
        <v>170.3</v>
      </c>
      <c r="AI40" s="6">
        <f>170.3</f>
        <v>170.3</v>
      </c>
      <c r="AJ40" s="6">
        <f>170.3</f>
        <v>170.3</v>
      </c>
    </row>
    <row r="41" spans="2:141">
      <c r="B41" s="1" t="s">
        <v>27</v>
      </c>
      <c r="E41" s="8">
        <f>E39/E40</f>
        <v>1.7772511848341419E-2</v>
      </c>
      <c r="G41" s="8">
        <f t="shared" ref="G41:L41" si="54">G39/G40</f>
        <v>7.7014218009478662E-3</v>
      </c>
      <c r="H41" s="8">
        <f t="shared" si="54"/>
        <v>4.6800947867298659E-2</v>
      </c>
      <c r="I41" s="8">
        <f t="shared" si="54"/>
        <v>1.8957345971563892E-2</v>
      </c>
      <c r="J41" s="8">
        <f t="shared" si="54"/>
        <v>2.3104265402842928E-2</v>
      </c>
      <c r="K41" s="8">
        <f t="shared" si="54"/>
        <v>2.6658767772511978E-2</v>
      </c>
      <c r="L41" s="8">
        <f t="shared" si="54"/>
        <v>1.7180094786729959E-2</v>
      </c>
      <c r="M41" s="8">
        <f t="shared" ref="M41:N41" si="55">M39/M40</f>
        <v>5.2725118483412457E-2</v>
      </c>
      <c r="N41" s="8">
        <f t="shared" si="55"/>
        <v>3.3470346447445024E-2</v>
      </c>
      <c r="O41" s="8"/>
      <c r="P41" s="8"/>
      <c r="Q41" s="8"/>
      <c r="R41" s="8"/>
      <c r="T41" s="8">
        <f t="shared" ref="T41:AA41" si="56">T39/T40</f>
        <v>6.4573459715639631E-2</v>
      </c>
      <c r="U41" s="8">
        <f t="shared" si="56"/>
        <v>0.475710900473934</v>
      </c>
      <c r="V41" s="8">
        <f t="shared" si="56"/>
        <v>2.9620853080570848E-3</v>
      </c>
      <c r="W41" s="8">
        <f t="shared" si="56"/>
        <v>-0.19668246445497634</v>
      </c>
      <c r="X41" s="8">
        <f t="shared" si="56"/>
        <v>1.4218009478672283E-2</v>
      </c>
      <c r="Y41" s="8">
        <f t="shared" si="56"/>
        <v>9.6563981042653693E-2</v>
      </c>
      <c r="Z41" s="8">
        <f t="shared" si="56"/>
        <v>0.12918379330593016</v>
      </c>
      <c r="AA41" s="8">
        <f t="shared" si="56"/>
        <v>0.38592601291837825</v>
      </c>
      <c r="AB41" s="8">
        <f t="shared" ref="AB41:AJ41" si="57">AB39/AB40</f>
        <v>0.8462448854961836</v>
      </c>
      <c r="AC41" s="8">
        <f t="shared" si="57"/>
        <v>1.1957584751614796</v>
      </c>
      <c r="AD41" s="8">
        <f t="shared" si="57"/>
        <v>1.4610152989453919</v>
      </c>
      <c r="AE41" s="8">
        <f t="shared" si="57"/>
        <v>1.6435652439161952</v>
      </c>
      <c r="AF41" s="8">
        <f t="shared" si="57"/>
        <v>1.8163489866368827</v>
      </c>
      <c r="AG41" s="8">
        <f t="shared" si="57"/>
        <v>1.9656947154251612</v>
      </c>
      <c r="AH41" s="8">
        <f t="shared" si="57"/>
        <v>2.1231585538213027</v>
      </c>
      <c r="AI41" s="8">
        <f t="shared" si="57"/>
        <v>2.2891540939684214</v>
      </c>
      <c r="AJ41" s="8">
        <f t="shared" si="57"/>
        <v>2.4641157040807511</v>
      </c>
    </row>
    <row r="43" spans="2:141">
      <c r="B43" s="1" t="s">
        <v>42</v>
      </c>
      <c r="E43" s="10"/>
      <c r="F43" s="10"/>
      <c r="G43" s="10"/>
      <c r="H43" s="10"/>
      <c r="I43" s="10">
        <f t="shared" ref="I43:K45" si="58">I22/E22-1</f>
        <v>-2.4413145539906034E-2</v>
      </c>
      <c r="J43" s="10"/>
      <c r="K43" s="10">
        <f t="shared" si="58"/>
        <v>-3.8497652582159536E-2</v>
      </c>
      <c r="L43" s="10">
        <f>L22/H22-1</f>
        <v>0.26666666666666683</v>
      </c>
      <c r="M43" s="10">
        <f t="shared" ref="M43:N45" si="59">M22/I22-1</f>
        <v>0.12993262752646784</v>
      </c>
      <c r="N43" s="10">
        <f t="shared" si="59"/>
        <v>7.3239436619718434E-2</v>
      </c>
      <c r="O43" s="10">
        <f t="shared" ref="O43:O45" si="60">O22/K22-1</f>
        <v>-1</v>
      </c>
      <c r="P43" s="10">
        <f t="shared" ref="P43:P45" si="61">P22/L22-1</f>
        <v>-1</v>
      </c>
      <c r="Q43" s="10">
        <f t="shared" ref="Q43:Q45" si="62">Q22/M22-1</f>
        <v>-1</v>
      </c>
      <c r="R43" s="10">
        <f t="shared" ref="R43:R45" si="63">R22/N22-1</f>
        <v>-1</v>
      </c>
      <c r="T43" s="10"/>
      <c r="U43" s="10">
        <f t="shared" ref="U43:X43" si="64">U22/T22-1</f>
        <v>-8.7674247982391873E-2</v>
      </c>
      <c r="V43" s="10">
        <f t="shared" si="64"/>
        <v>-0.11781262565339756</v>
      </c>
      <c r="W43" s="10">
        <f t="shared" si="64"/>
        <v>0.48222424794895158</v>
      </c>
      <c r="X43" s="10">
        <f t="shared" si="64"/>
        <v>0.23800738007380096</v>
      </c>
      <c r="Y43" s="10">
        <f>Y22/X22-1</f>
        <v>5.1664182811723691E-2</v>
      </c>
      <c r="Z43" s="10">
        <f t="shared" ref="Z43:AJ43" si="65">Z22/Y22-1</f>
        <v>0.10769957487009929</v>
      </c>
      <c r="AA43" s="10">
        <f t="shared" si="65"/>
        <v>0.10000000000000009</v>
      </c>
      <c r="AB43" s="10">
        <f t="shared" si="65"/>
        <v>9.000000000000008E-2</v>
      </c>
      <c r="AC43" s="10">
        <f t="shared" si="65"/>
        <v>7.0000000000000062E-2</v>
      </c>
      <c r="AD43" s="10">
        <f t="shared" si="65"/>
        <v>5.0000000000000044E-2</v>
      </c>
      <c r="AE43" s="10">
        <f t="shared" si="65"/>
        <v>5.0000000000000044E-2</v>
      </c>
      <c r="AF43" s="10">
        <f t="shared" si="65"/>
        <v>5.0000000000000044E-2</v>
      </c>
      <c r="AG43" s="10">
        <f t="shared" si="65"/>
        <v>5.0000000000000044E-2</v>
      </c>
      <c r="AH43" s="10">
        <f t="shared" si="65"/>
        <v>5.0000000000000044E-2</v>
      </c>
      <c r="AI43" s="10">
        <f t="shared" si="65"/>
        <v>5.0000000000000044E-2</v>
      </c>
      <c r="AJ43" s="10">
        <f t="shared" si="65"/>
        <v>5.0000000000000044E-2</v>
      </c>
    </row>
    <row r="44" spans="2:141">
      <c r="B44" s="1" t="s">
        <v>43</v>
      </c>
      <c r="E44" s="10"/>
      <c r="F44" s="10"/>
      <c r="G44" s="10"/>
      <c r="H44" s="10"/>
      <c r="I44" s="10">
        <f t="shared" si="58"/>
        <v>2.3200475907198204E-2</v>
      </c>
      <c r="J44" s="10"/>
      <c r="K44" s="10">
        <f t="shared" si="58"/>
        <v>0.17281780902167543</v>
      </c>
      <c r="L44" s="10">
        <f t="shared" ref="L44:L45" si="66">L23/H23-1</f>
        <v>0.11880165289256195</v>
      </c>
      <c r="M44" s="10">
        <f t="shared" si="59"/>
        <v>0.33837209302325566</v>
      </c>
      <c r="N44" s="10">
        <f t="shared" si="59"/>
        <v>0.30690826727066778</v>
      </c>
      <c r="O44" s="10">
        <f t="shared" si="60"/>
        <v>-1</v>
      </c>
      <c r="P44" s="10">
        <f t="shared" si="61"/>
        <v>-1</v>
      </c>
      <c r="Q44" s="10">
        <f t="shared" si="62"/>
        <v>-1</v>
      </c>
      <c r="R44" s="10">
        <f t="shared" si="63"/>
        <v>-1</v>
      </c>
      <c r="T44" s="10"/>
      <c r="U44" s="10">
        <f t="shared" ref="U44:X44" si="67">U23/T23-1</f>
        <v>0.12160035963137794</v>
      </c>
      <c r="V44" s="10">
        <f t="shared" si="67"/>
        <v>0.18657314629258526</v>
      </c>
      <c r="W44" s="10">
        <f t="shared" si="67"/>
        <v>-3.2089174125992215E-2</v>
      </c>
      <c r="X44" s="10">
        <f t="shared" si="67"/>
        <v>0.10713662537079038</v>
      </c>
      <c r="Y44" s="10">
        <f>Y23/X23-1</f>
        <v>0.12356185973207245</v>
      </c>
      <c r="Z44" s="10">
        <f t="shared" ref="Z44:AJ44" si="68">Z23/Y23-1</f>
        <v>0.23130873895356996</v>
      </c>
      <c r="AA44" s="10">
        <f t="shared" si="68"/>
        <v>0.25</v>
      </c>
      <c r="AB44" s="10">
        <f t="shared" si="68"/>
        <v>0.21999999999999997</v>
      </c>
      <c r="AC44" s="10">
        <f t="shared" si="68"/>
        <v>0.14999999999999991</v>
      </c>
      <c r="AD44" s="10">
        <f t="shared" si="68"/>
        <v>8.0000000000000071E-2</v>
      </c>
      <c r="AE44" s="10">
        <f t="shared" si="68"/>
        <v>6.0000000000000053E-2</v>
      </c>
      <c r="AF44" s="10">
        <f t="shared" si="68"/>
        <v>5.0000000000000044E-2</v>
      </c>
      <c r="AG44" s="10">
        <f t="shared" si="68"/>
        <v>5.0000000000000044E-2</v>
      </c>
      <c r="AH44" s="10">
        <f t="shared" si="68"/>
        <v>5.0000000000000044E-2</v>
      </c>
      <c r="AI44" s="10">
        <f t="shared" si="68"/>
        <v>5.0000000000000044E-2</v>
      </c>
      <c r="AJ44" s="10">
        <f t="shared" si="68"/>
        <v>5.0000000000000044E-2</v>
      </c>
    </row>
    <row r="45" spans="2:141">
      <c r="B45" s="1" t="s">
        <v>44</v>
      </c>
      <c r="E45" s="10"/>
      <c r="F45" s="10"/>
      <c r="G45" s="10"/>
      <c r="H45" s="10"/>
      <c r="I45" s="10">
        <f t="shared" si="58"/>
        <v>4.73415877640182E-3</v>
      </c>
      <c r="J45" s="10"/>
      <c r="K45" s="10">
        <f t="shared" si="58"/>
        <v>9.1630591630591729E-2</v>
      </c>
      <c r="L45" s="10">
        <f t="shared" si="66"/>
        <v>0.17127624125291563</v>
      </c>
      <c r="M45" s="10">
        <f t="shared" si="59"/>
        <v>0.2598767669445452</v>
      </c>
      <c r="N45" s="10">
        <f t="shared" si="59"/>
        <v>0.21900388555280803</v>
      </c>
      <c r="O45" s="10">
        <f t="shared" si="60"/>
        <v>0.12359550561797739</v>
      </c>
      <c r="P45" s="10">
        <f t="shared" si="61"/>
        <v>0.14999999999999991</v>
      </c>
      <c r="Q45" s="10">
        <f t="shared" si="62"/>
        <v>0.19999999999999996</v>
      </c>
      <c r="R45" s="10">
        <f t="shared" si="63"/>
        <v>0.25</v>
      </c>
      <c r="T45" s="10"/>
      <c r="U45" s="10">
        <f t="shared" ref="U45:X45" si="69">U24/T24-1</f>
        <v>4.2090592334494747E-2</v>
      </c>
      <c r="V45" s="10">
        <f t="shared" si="69"/>
        <v>8.532834024341307E-2</v>
      </c>
      <c r="W45" s="10">
        <f t="shared" si="69"/>
        <v>0.106962415280345</v>
      </c>
      <c r="X45" s="10">
        <f t="shared" si="69"/>
        <v>0.15451408215518203</v>
      </c>
      <c r="Y45" s="10">
        <f>Y24/X24-1</f>
        <v>9.5651335454633113E-2</v>
      </c>
      <c r="Z45" s="10">
        <f t="shared" ref="Z45:AJ45" si="70">Z24/Y24-1</f>
        <v>0.18525037402094524</v>
      </c>
      <c r="AA45" s="10">
        <f t="shared" si="70"/>
        <v>0.18259578259578246</v>
      </c>
      <c r="AB45" s="10">
        <f t="shared" si="70"/>
        <v>0.19354060977447407</v>
      </c>
      <c r="AC45" s="10">
        <f t="shared" si="70"/>
        <v>0.12633506156837337</v>
      </c>
      <c r="AD45" s="10">
        <f t="shared" si="70"/>
        <v>7.156950993564215E-2</v>
      </c>
      <c r="AE45" s="10">
        <f t="shared" si="70"/>
        <v>5.724640212775145E-2</v>
      </c>
      <c r="AF45" s="10">
        <f t="shared" si="70"/>
        <v>4.9999999999999822E-2</v>
      </c>
      <c r="AG45" s="10">
        <f t="shared" si="70"/>
        <v>5.0000000000000044E-2</v>
      </c>
      <c r="AH45" s="10">
        <f t="shared" si="70"/>
        <v>5.0000000000000044E-2</v>
      </c>
      <c r="AI45" s="10">
        <f t="shared" si="70"/>
        <v>5.0000000000000044E-2</v>
      </c>
      <c r="AJ45" s="10">
        <f t="shared" si="70"/>
        <v>5.0000000000000044E-2</v>
      </c>
      <c r="AL45" s="1" t="s">
        <v>52</v>
      </c>
      <c r="AM45" s="10">
        <v>-0.01</v>
      </c>
    </row>
    <row r="46" spans="2:141">
      <c r="B46" s="1" t="s">
        <v>45</v>
      </c>
      <c r="E46" s="10">
        <f t="shared" ref="E46" si="71">(E22-E25)/E25</f>
        <v>0.34810126582278483</v>
      </c>
      <c r="F46" s="10"/>
      <c r="G46" s="10">
        <f t="shared" ref="G46:K46" si="72">(G22-G25)/G22</f>
        <v>0.25633802816901408</v>
      </c>
      <c r="H46" s="10">
        <f t="shared" si="72"/>
        <v>0.27699530516431925</v>
      </c>
      <c r="I46" s="10">
        <f t="shared" si="72"/>
        <v>0.26179018286814248</v>
      </c>
      <c r="J46" s="10">
        <f t="shared" si="72"/>
        <v>0.27605633802816892</v>
      </c>
      <c r="K46" s="10">
        <f t="shared" si="72"/>
        <v>0.2607421875</v>
      </c>
      <c r="L46" s="10">
        <f>(L22-L25)/L22</f>
        <v>0.20533728687916977</v>
      </c>
      <c r="M46" s="10">
        <f t="shared" ref="M46:N46" si="73">(M22-M25)/M22</f>
        <v>0.22316865417376491</v>
      </c>
      <c r="N46" s="10">
        <f t="shared" si="73"/>
        <v>0.27646544181977234</v>
      </c>
      <c r="O46" s="10" t="e">
        <f t="shared" ref="O46:R46" si="74">(O22-O25)/O22</f>
        <v>#DIV/0!</v>
      </c>
      <c r="P46" s="10" t="e">
        <f t="shared" si="74"/>
        <v>#DIV/0!</v>
      </c>
      <c r="Q46" s="10" t="e">
        <f t="shared" si="74"/>
        <v>#DIV/0!</v>
      </c>
      <c r="R46" s="10" t="e">
        <f t="shared" si="74"/>
        <v>#DIV/0!</v>
      </c>
      <c r="T46" s="10">
        <f t="shared" ref="T46:Y46" si="75">(T22-T25)/T22</f>
        <v>0.2956713132795305</v>
      </c>
      <c r="U46" s="10">
        <f t="shared" si="75"/>
        <v>0.266184157619622</v>
      </c>
      <c r="V46" s="10">
        <f t="shared" si="75"/>
        <v>0.28805834092980864</v>
      </c>
      <c r="W46" s="10">
        <f t="shared" si="75"/>
        <v>0.26506765067650673</v>
      </c>
      <c r="X46" s="10">
        <f t="shared" si="75"/>
        <v>0.24689518132141089</v>
      </c>
      <c r="Y46" s="10">
        <f t="shared" si="75"/>
        <v>0.26783183750590456</v>
      </c>
      <c r="Z46" s="10">
        <f t="shared" ref="Z46:AJ46" si="76">(Z22-Z25)/Z22</f>
        <v>0.2392324093816631</v>
      </c>
      <c r="AA46" s="10">
        <f t="shared" si="76"/>
        <v>0.25</v>
      </c>
      <c r="AB46" s="10">
        <f t="shared" si="76"/>
        <v>0.26</v>
      </c>
      <c r="AC46" s="10">
        <f t="shared" si="76"/>
        <v>0.27000000000000007</v>
      </c>
      <c r="AD46" s="10">
        <f t="shared" si="76"/>
        <v>0.28000000000000003</v>
      </c>
      <c r="AE46" s="10">
        <f t="shared" si="76"/>
        <v>0.29000000000000004</v>
      </c>
      <c r="AF46" s="10">
        <f t="shared" si="76"/>
        <v>0.30000000000000004</v>
      </c>
      <c r="AG46" s="10">
        <f t="shared" si="76"/>
        <v>0.30000000000000004</v>
      </c>
      <c r="AH46" s="10">
        <f t="shared" si="76"/>
        <v>0.3</v>
      </c>
      <c r="AI46" s="10">
        <f t="shared" si="76"/>
        <v>0.30000000000000004</v>
      </c>
      <c r="AJ46" s="10">
        <f t="shared" si="76"/>
        <v>0.30000000000000004</v>
      </c>
      <c r="AL46" s="1" t="s">
        <v>53</v>
      </c>
      <c r="AM46" s="10">
        <v>0.09</v>
      </c>
    </row>
    <row r="47" spans="2:141">
      <c r="B47" s="1" t="s">
        <v>46</v>
      </c>
      <c r="E47" s="10">
        <f t="shared" ref="E47" si="77">(E23-E26)/E26</f>
        <v>0.3756137479541734</v>
      </c>
      <c r="F47" s="10"/>
      <c r="G47" s="10">
        <f t="shared" ref="G47:K47" si="78">(G23-G26)/G23</f>
        <v>0.25600468658465136</v>
      </c>
      <c r="H47" s="10">
        <f t="shared" si="78"/>
        <v>0.2463842975206611</v>
      </c>
      <c r="I47" s="10">
        <f t="shared" si="78"/>
        <v>0.2441860465116279</v>
      </c>
      <c r="J47" s="10">
        <f t="shared" si="78"/>
        <v>0.22876557191392938</v>
      </c>
      <c r="K47" s="10">
        <f t="shared" si="78"/>
        <v>0.23426573426573416</v>
      </c>
      <c r="L47" s="10">
        <f>(L23-L26)/L23</f>
        <v>0.21283471837488455</v>
      </c>
      <c r="M47" s="10">
        <f t="shared" ref="M47:N47" si="79">(M23-M26)/M23</f>
        <v>0.22111207645525621</v>
      </c>
      <c r="N47" s="10">
        <f t="shared" si="79"/>
        <v>0.22443674176776396</v>
      </c>
      <c r="O47" s="10" t="e">
        <f t="shared" ref="O47:R47" si="80">(O23-O26)/O23</f>
        <v>#DIV/0!</v>
      </c>
      <c r="P47" s="10" t="e">
        <f t="shared" si="80"/>
        <v>#DIV/0!</v>
      </c>
      <c r="Q47" s="10" t="e">
        <f t="shared" si="80"/>
        <v>#DIV/0!</v>
      </c>
      <c r="R47" s="10" t="e">
        <f t="shared" si="80"/>
        <v>#DIV/0!</v>
      </c>
      <c r="T47" s="10">
        <f t="shared" ref="T47:Y47" si="81">(T23-T26)/T23</f>
        <v>0.24589795459653851</v>
      </c>
      <c r="U47" s="10">
        <f t="shared" si="81"/>
        <v>0.27454909819639278</v>
      </c>
      <c r="V47" s="10">
        <f t="shared" si="81"/>
        <v>0.2734335416314812</v>
      </c>
      <c r="W47" s="10">
        <f t="shared" si="81"/>
        <v>0.24393648577909616</v>
      </c>
      <c r="X47" s="10">
        <f t="shared" si="81"/>
        <v>0.26666666666666666</v>
      </c>
      <c r="Y47" s="10">
        <f t="shared" si="81"/>
        <v>0.24379295833917794</v>
      </c>
      <c r="Z47" s="10">
        <f t="shared" ref="Z47:AJ47" si="82">(Z23-Z26)/Z23</f>
        <v>0.22294372294372289</v>
      </c>
      <c r="AA47" s="10">
        <f t="shared" si="82"/>
        <v>0.24000000000000002</v>
      </c>
      <c r="AB47" s="10">
        <f t="shared" si="82"/>
        <v>0.25</v>
      </c>
      <c r="AC47" s="10">
        <f t="shared" si="82"/>
        <v>0.25999999999999995</v>
      </c>
      <c r="AD47" s="10">
        <f t="shared" si="82"/>
        <v>0.27</v>
      </c>
      <c r="AE47" s="10">
        <f t="shared" si="82"/>
        <v>0.27</v>
      </c>
      <c r="AF47" s="10">
        <f t="shared" si="82"/>
        <v>0.27000000000000007</v>
      </c>
      <c r="AG47" s="10">
        <f t="shared" si="82"/>
        <v>0.27</v>
      </c>
      <c r="AH47" s="10">
        <f t="shared" si="82"/>
        <v>0.27000000000000007</v>
      </c>
      <c r="AI47" s="10">
        <f t="shared" si="82"/>
        <v>0.27</v>
      </c>
      <c r="AJ47" s="10">
        <f t="shared" si="82"/>
        <v>0.27000000000000007</v>
      </c>
      <c r="AL47" s="1" t="s">
        <v>54</v>
      </c>
      <c r="AM47" s="6">
        <f>NPV(AM46,AA39:EK39)</f>
        <v>3357.6029334831451</v>
      </c>
    </row>
    <row r="48" spans="2:141">
      <c r="B48" s="1" t="s">
        <v>47</v>
      </c>
      <c r="E48" s="10"/>
      <c r="F48" s="10"/>
      <c r="G48" s="10">
        <f t="shared" ref="G48:K48" si="83">G28/G24</f>
        <v>0.25613275613275616</v>
      </c>
      <c r="H48" s="10">
        <f t="shared" si="83"/>
        <v>0.25724758413862048</v>
      </c>
      <c r="I48" s="10">
        <f t="shared" si="83"/>
        <v>0.25081551286698078</v>
      </c>
      <c r="J48" s="10">
        <f t="shared" si="83"/>
        <v>0.24655598728364503</v>
      </c>
      <c r="K48" s="10">
        <f t="shared" si="83"/>
        <v>0.24322538003965638</v>
      </c>
      <c r="L48" s="10">
        <f>L28/L24</f>
        <v>0.20995732574679946</v>
      </c>
      <c r="M48" s="10">
        <f t="shared" ref="M48:N48" si="84">M28/M24</f>
        <v>0.22180667433831996</v>
      </c>
      <c r="N48" s="10">
        <f t="shared" si="84"/>
        <v>0.24166908142567339</v>
      </c>
      <c r="O48" s="10">
        <f t="shared" ref="O48:R48" si="85">O28/O24</f>
        <v>0</v>
      </c>
      <c r="P48" s="10">
        <f t="shared" si="85"/>
        <v>0</v>
      </c>
      <c r="Q48" s="10">
        <f t="shared" si="85"/>
        <v>0</v>
      </c>
      <c r="R48" s="10">
        <f t="shared" si="85"/>
        <v>0</v>
      </c>
      <c r="T48" s="10">
        <f t="shared" ref="T48:Y48" si="86">T28/T24</f>
        <v>0.26480836236933797</v>
      </c>
      <c r="U48" s="10">
        <f t="shared" si="86"/>
        <v>0.2717667513708707</v>
      </c>
      <c r="V48" s="10">
        <f t="shared" si="86"/>
        <v>0.27738755391250774</v>
      </c>
      <c r="W48" s="10">
        <f t="shared" si="86"/>
        <v>0.2515863297339419</v>
      </c>
      <c r="X48" s="10">
        <f t="shared" si="86"/>
        <v>0.25899141837816986</v>
      </c>
      <c r="Y48" s="10">
        <f t="shared" si="86"/>
        <v>0.25275015400862444</v>
      </c>
      <c r="Z48" s="10">
        <f t="shared" ref="Z48:AJ48" si="87">Z28/Z24</f>
        <v>0.22861597861597852</v>
      </c>
      <c r="AA48" s="10">
        <f t="shared" si="87"/>
        <v>0.23349050680596703</v>
      </c>
      <c r="AB48" s="10">
        <f t="shared" si="87"/>
        <v>0.25295811730395334</v>
      </c>
      <c r="AC48" s="10">
        <f t="shared" si="87"/>
        <v>0.26281016335478596</v>
      </c>
      <c r="AD48" s="10">
        <f t="shared" si="87"/>
        <v>0.27275359787224873</v>
      </c>
      <c r="AE48" s="10">
        <f t="shared" si="87"/>
        <v>0.2754694492410516</v>
      </c>
      <c r="AF48" s="10">
        <f t="shared" si="87"/>
        <v>0.27820417386157731</v>
      </c>
      <c r="AG48" s="10">
        <f t="shared" si="87"/>
        <v>0.27820417386157736</v>
      </c>
      <c r="AH48" s="10">
        <f t="shared" si="87"/>
        <v>0.27820417386157742</v>
      </c>
      <c r="AI48" s="10">
        <f t="shared" si="87"/>
        <v>0.27820417386157725</v>
      </c>
      <c r="AJ48" s="10">
        <f t="shared" si="87"/>
        <v>0.27820417386157736</v>
      </c>
      <c r="AL48" s="1" t="s">
        <v>55</v>
      </c>
      <c r="AM48" s="6">
        <f>Main!D8</f>
        <v>565.6</v>
      </c>
    </row>
    <row r="49" spans="2:39">
      <c r="B49" s="1" t="s">
        <v>48</v>
      </c>
      <c r="E49" s="10"/>
      <c r="F49" s="10"/>
      <c r="G49" s="10"/>
      <c r="H49" s="10"/>
      <c r="I49" s="10">
        <f t="shared" ref="I49:K49" si="88">I29/E29-1</f>
        <v>3.3398821218074692E-2</v>
      </c>
      <c r="J49" s="10"/>
      <c r="K49" s="10">
        <f t="shared" si="88"/>
        <v>4.7794117647058876E-2</v>
      </c>
      <c r="L49" s="10">
        <f>L29/H29-1</f>
        <v>9.9082568807339344E-2</v>
      </c>
      <c r="M49" s="10">
        <f t="shared" ref="M49:N49" si="89">M29/I29-1</f>
        <v>0.13688212927756638</v>
      </c>
      <c r="N49" s="10">
        <f t="shared" si="89"/>
        <v>0.20952380952380878</v>
      </c>
      <c r="O49" s="10">
        <f t="shared" ref="O49" si="90">O29/K29-1</f>
        <v>-1</v>
      </c>
      <c r="P49" s="10">
        <f t="shared" ref="P49" si="91">P29/L29-1</f>
        <v>-1</v>
      </c>
      <c r="Q49" s="10">
        <f t="shared" ref="Q49" si="92">Q29/M29-1</f>
        <v>-1</v>
      </c>
      <c r="R49" s="10">
        <f t="shared" ref="R49" si="93">R29/N29-1</f>
        <v>-1</v>
      </c>
      <c r="T49" s="10"/>
      <c r="U49" s="10">
        <f t="shared" ref="U49:X49" si="94">U29/T29-1</f>
        <v>0.10474006116207946</v>
      </c>
      <c r="V49" s="10">
        <f t="shared" si="94"/>
        <v>0.10865051903114176</v>
      </c>
      <c r="W49" s="10">
        <f t="shared" si="94"/>
        <v>0.14107365792759063</v>
      </c>
      <c r="X49" s="10">
        <f t="shared" si="94"/>
        <v>8.2056892778993529E-2</v>
      </c>
      <c r="Y49" s="10">
        <f>Y29/X29-1</f>
        <v>8.1900910010111128E-2</v>
      </c>
      <c r="Z49" s="10">
        <f t="shared" ref="Z49:AJ49" si="95">Z29/Y29-1</f>
        <v>0.12242990654205599</v>
      </c>
      <c r="AA49" s="10">
        <f t="shared" si="95"/>
        <v>4.0000000000000036E-2</v>
      </c>
      <c r="AB49" s="10">
        <f t="shared" si="95"/>
        <v>3.0000000000000027E-2</v>
      </c>
      <c r="AC49" s="10">
        <f t="shared" si="95"/>
        <v>2.0000000000000018E-2</v>
      </c>
      <c r="AD49" s="10">
        <f t="shared" si="95"/>
        <v>2.0000000000000018E-2</v>
      </c>
      <c r="AE49" s="10">
        <f t="shared" si="95"/>
        <v>1.0000000000000009E-2</v>
      </c>
      <c r="AF49" s="10">
        <f t="shared" si="95"/>
        <v>1.0000000000000009E-2</v>
      </c>
      <c r="AG49" s="10">
        <f t="shared" si="95"/>
        <v>1.0000000000000009E-2</v>
      </c>
      <c r="AH49" s="10">
        <f t="shared" si="95"/>
        <v>1.0000000000000009E-2</v>
      </c>
      <c r="AI49" s="10">
        <f t="shared" si="95"/>
        <v>1.0000000000000009E-2</v>
      </c>
      <c r="AJ49" s="10">
        <f t="shared" si="95"/>
        <v>1.0000000000000009E-2</v>
      </c>
      <c r="AL49" s="1" t="s">
        <v>56</v>
      </c>
      <c r="AM49" s="6">
        <f>AM47+AM48</f>
        <v>3923.202933483145</v>
      </c>
    </row>
    <row r="50" spans="2:39">
      <c r="B50" s="1" t="s">
        <v>49</v>
      </c>
      <c r="E50" s="10"/>
      <c r="F50" s="10"/>
      <c r="G50" s="10"/>
      <c r="H50" s="10"/>
      <c r="I50" s="10">
        <f t="shared" ref="I50:K50" si="96">I31/E31-1</f>
        <v>-3.8834951456310662E-2</v>
      </c>
      <c r="J50" s="10"/>
      <c r="K50" s="10">
        <f t="shared" si="96"/>
        <v>4.1666666666666741E-2</v>
      </c>
      <c r="L50" s="10">
        <f>L31/H31-1</f>
        <v>0</v>
      </c>
      <c r="M50" s="10">
        <f t="shared" ref="M50:N50" si="97">M31/I31-1</f>
        <v>1.0101010101010166E-2</v>
      </c>
      <c r="N50" s="10">
        <f t="shared" si="97"/>
        <v>-7.5471698113207419E-2</v>
      </c>
      <c r="O50" s="10">
        <f t="shared" ref="O50" si="98">O31/K31-1</f>
        <v>0.14999999999999991</v>
      </c>
      <c r="P50" s="10">
        <f t="shared" ref="P50" si="99">P31/L31-1</f>
        <v>0.14705882352941169</v>
      </c>
      <c r="Q50" s="10">
        <f t="shared" ref="Q50" si="100">Q31/M31-1</f>
        <v>0.18000000000000016</v>
      </c>
      <c r="R50" s="10">
        <f t="shared" ref="R50" si="101">R31/N31-1</f>
        <v>0.22448979591836715</v>
      </c>
      <c r="T50" s="10"/>
      <c r="U50" s="10">
        <f t="shared" ref="U50:X50" si="102">U31/T31-1</f>
        <v>0.5</v>
      </c>
      <c r="V50" s="10">
        <f t="shared" si="102"/>
        <v>0.30370370370370381</v>
      </c>
      <c r="W50" s="10">
        <f t="shared" si="102"/>
        <v>9.659090909090895E-2</v>
      </c>
      <c r="X50" s="10">
        <f t="shared" si="102"/>
        <v>-5.1813471502590858E-3</v>
      </c>
      <c r="Y50" s="10">
        <f>Y31/X31-1</f>
        <v>4.9479166666666741E-2</v>
      </c>
      <c r="Z50" s="10">
        <f t="shared" ref="Z50:AJ50" si="103">Z31/Y31-1</f>
        <v>-7.4441687344912744E-3</v>
      </c>
      <c r="AA50" s="10">
        <f t="shared" si="103"/>
        <v>0.14999999999999991</v>
      </c>
      <c r="AB50" s="10">
        <f t="shared" si="103"/>
        <v>8.0000000000000071E-2</v>
      </c>
      <c r="AC50" s="10">
        <f t="shared" si="103"/>
        <v>5.0000000000000044E-2</v>
      </c>
      <c r="AD50" s="10">
        <f t="shared" si="103"/>
        <v>3.0000000000000027E-2</v>
      </c>
      <c r="AE50" s="10">
        <f t="shared" si="103"/>
        <v>2.0000000000000018E-2</v>
      </c>
      <c r="AF50" s="10">
        <f t="shared" si="103"/>
        <v>2.0000000000000018E-2</v>
      </c>
      <c r="AG50" s="10">
        <f t="shared" si="103"/>
        <v>2.0000000000000018E-2</v>
      </c>
      <c r="AH50" s="10">
        <f t="shared" si="103"/>
        <v>2.0000000000000018E-2</v>
      </c>
      <c r="AI50" s="10">
        <f t="shared" si="103"/>
        <v>2.0000000000000018E-2</v>
      </c>
      <c r="AJ50" s="10">
        <f t="shared" si="103"/>
        <v>2.0000000000000018E-2</v>
      </c>
      <c r="AL50" s="1" t="s">
        <v>57</v>
      </c>
      <c r="AM50" s="4">
        <f>AM49/AJ40</f>
        <v>23.037010766195799</v>
      </c>
    </row>
    <row r="51" spans="2:39">
      <c r="B51" s="1" t="s">
        <v>50</v>
      </c>
      <c r="E51" s="10">
        <f t="shared" ref="E51:K51" si="104">E34/E24</f>
        <v>4.4428259286234631E-2</v>
      </c>
      <c r="F51" s="10"/>
      <c r="G51" s="10">
        <f t="shared" si="104"/>
        <v>2.5252525252525252E-2</v>
      </c>
      <c r="H51" s="10">
        <f t="shared" si="104"/>
        <v>4.1652782405864758E-2</v>
      </c>
      <c r="I51" s="10">
        <f t="shared" si="104"/>
        <v>2.3559260601667222E-2</v>
      </c>
      <c r="J51" s="10">
        <f t="shared" si="104"/>
        <v>1.0596962204167738E-2</v>
      </c>
      <c r="K51" s="10">
        <f t="shared" si="104"/>
        <v>2.1810971579643165E-2</v>
      </c>
      <c r="L51" s="10">
        <f>L34/L24</f>
        <v>1.0526315789473733E-2</v>
      </c>
      <c r="M51" s="10">
        <f t="shared" ref="M51:N51" si="105">M34/M24</f>
        <v>2.0425776754890743E-2</v>
      </c>
      <c r="N51" s="10">
        <f t="shared" si="105"/>
        <v>2.3761228629382472E-2</v>
      </c>
      <c r="O51" s="10">
        <f t="shared" ref="O51:R51" si="106">O34/O24</f>
        <v>8.8235294117647058E-3</v>
      </c>
      <c r="P51" s="10">
        <f t="shared" si="106"/>
        <v>0</v>
      </c>
      <c r="Q51" s="10">
        <f t="shared" si="106"/>
        <v>0</v>
      </c>
      <c r="R51" s="10">
        <f t="shared" si="106"/>
        <v>0</v>
      </c>
      <c r="T51" s="10">
        <f t="shared" ref="T51:X51" si="107">T34/T24</f>
        <v>5.2961672473867558E-2</v>
      </c>
      <c r="U51" s="10">
        <f t="shared" si="107"/>
        <v>3.9186839641567564E-2</v>
      </c>
      <c r="V51" s="10">
        <f t="shared" si="107"/>
        <v>3.4380776340110948E-2</v>
      </c>
      <c r="W51" s="10">
        <f t="shared" si="107"/>
        <v>-3.2283201603028008E-3</v>
      </c>
      <c r="X51" s="10">
        <f t="shared" si="107"/>
        <v>2.9987465046764906E-2</v>
      </c>
      <c r="Y51" s="10">
        <f>Y34/Y24</f>
        <v>2.5521429200035153E-2</v>
      </c>
      <c r="Z51" s="10">
        <f t="shared" ref="Z51:AJ51" si="108">Z34/Z24</f>
        <v>1.9008019008018941E-2</v>
      </c>
      <c r="AA51" s="10">
        <f t="shared" si="108"/>
        <v>4.7765457833140651E-2</v>
      </c>
      <c r="AB51" s="10">
        <f t="shared" si="108"/>
        <v>9.1471470444655839E-2</v>
      </c>
      <c r="AC51" s="10">
        <f t="shared" si="108"/>
        <v>0.11587307175716335</v>
      </c>
      <c r="AD51" s="10">
        <f t="shared" si="108"/>
        <v>0.13266052903395384</v>
      </c>
      <c r="AE51" s="10">
        <f t="shared" si="108"/>
        <v>0.14141538591448433</v>
      </c>
      <c r="AF51" s="10">
        <f t="shared" si="108"/>
        <v>0.14904176374760364</v>
      </c>
      <c r="AG51" s="10">
        <f t="shared" si="108"/>
        <v>0.15375321593059751</v>
      </c>
      <c r="AH51" s="10">
        <f t="shared" si="108"/>
        <v>0.15829115623757029</v>
      </c>
      <c r="AI51" s="10">
        <f t="shared" si="108"/>
        <v>0.16266202401570357</v>
      </c>
      <c r="AJ51" s="10">
        <f t="shared" si="108"/>
        <v>0.16687201817883121</v>
      </c>
      <c r="AL51" s="1" t="s">
        <v>58</v>
      </c>
      <c r="AM51" s="4">
        <f>Main!D3</f>
        <v>91.31</v>
      </c>
    </row>
    <row r="52" spans="2:39">
      <c r="B52" s="1" t="s">
        <v>25</v>
      </c>
      <c r="E52" s="10">
        <f t="shared" ref="E52:K52" si="109">E38/E37</f>
        <v>0.55882352941176205</v>
      </c>
      <c r="F52" s="10"/>
      <c r="G52" s="10">
        <f t="shared" si="109"/>
        <v>0.67500000000000004</v>
      </c>
      <c r="H52" s="10">
        <f t="shared" si="109"/>
        <v>0.37795275590551142</v>
      </c>
      <c r="I52" s="10">
        <f t="shared" si="109"/>
        <v>0.44827586206896664</v>
      </c>
      <c r="J52" s="10">
        <f t="shared" si="109"/>
        <v>2.5000000000000626E-2</v>
      </c>
      <c r="K52" s="10">
        <f t="shared" si="109"/>
        <v>0.16666666666666596</v>
      </c>
      <c r="L52" s="10">
        <f>L38/L37</f>
        <v>0.36956521739130294</v>
      </c>
      <c r="M52" s="10">
        <f t="shared" ref="M52:N52" si="110">M38/M37</f>
        <v>0.26446280991735488</v>
      </c>
      <c r="N52" s="10">
        <f t="shared" si="110"/>
        <v>0.52100840336134946</v>
      </c>
      <c r="O52" s="10" t="e">
        <f t="shared" ref="O52:R52" si="111">O38/O37</f>
        <v>#DIV/0!</v>
      </c>
      <c r="P52" s="10" t="e">
        <f t="shared" si="111"/>
        <v>#DIV/0!</v>
      </c>
      <c r="Q52" s="10" t="e">
        <f t="shared" si="111"/>
        <v>#DIV/0!</v>
      </c>
      <c r="R52" s="10" t="e">
        <f t="shared" si="111"/>
        <v>#DIV/0!</v>
      </c>
      <c r="T52" s="10">
        <f t="shared" ref="T52:X52" si="112">T38/T37</f>
        <v>0.30573248407643366</v>
      </c>
      <c r="U52" s="10">
        <f t="shared" si="112"/>
        <v>-10.808823529411658</v>
      </c>
      <c r="V52" s="10">
        <f t="shared" si="112"/>
        <v>0.88636363636362914</v>
      </c>
      <c r="W52" s="10">
        <f t="shared" si="112"/>
        <v>-6.0606060606060597E-3</v>
      </c>
      <c r="X52" s="10">
        <f t="shared" si="112"/>
        <v>0.7837837837837921</v>
      </c>
      <c r="Y52" s="10">
        <f>Y38/Y37</f>
        <v>0.38490566037735929</v>
      </c>
      <c r="Z52" s="10">
        <f t="shared" ref="Z52:AJ52" si="113">Z38/Z37</f>
        <v>0.3529411764705892</v>
      </c>
      <c r="AA52" s="10">
        <f t="shared" si="113"/>
        <v>0.2</v>
      </c>
      <c r="AB52" s="10">
        <f t="shared" si="113"/>
        <v>0.19999999999999998</v>
      </c>
      <c r="AC52" s="10">
        <f t="shared" si="113"/>
        <v>0.2</v>
      </c>
      <c r="AD52" s="10">
        <f t="shared" si="113"/>
        <v>0.2</v>
      </c>
      <c r="AE52" s="10">
        <f t="shared" si="113"/>
        <v>0.2</v>
      </c>
      <c r="AF52" s="10">
        <f t="shared" si="113"/>
        <v>0.2</v>
      </c>
      <c r="AG52" s="10">
        <f t="shared" si="113"/>
        <v>0.2</v>
      </c>
      <c r="AH52" s="10">
        <f t="shared" si="113"/>
        <v>0.2</v>
      </c>
      <c r="AI52" s="10">
        <f t="shared" si="113"/>
        <v>0.2</v>
      </c>
      <c r="AJ52" s="10">
        <f t="shared" si="113"/>
        <v>0.2</v>
      </c>
      <c r="AL52" s="2" t="s">
        <v>59</v>
      </c>
      <c r="AM52" s="11">
        <f>AM50/AM51-1</f>
        <v>-0.74770550031545513</v>
      </c>
    </row>
    <row r="53" spans="2:39">
      <c r="B53" s="1" t="s">
        <v>51</v>
      </c>
      <c r="E53" s="10">
        <f t="shared" ref="E53:K53" si="114">E39/E24</f>
        <v>1.092498179169713E-2</v>
      </c>
      <c r="F53" s="10"/>
      <c r="G53" s="10">
        <f t="shared" si="114"/>
        <v>4.6897546897546891E-3</v>
      </c>
      <c r="H53" s="10">
        <f t="shared" si="114"/>
        <v>2.6324558480506542E-2</v>
      </c>
      <c r="I53" s="10">
        <f t="shared" si="114"/>
        <v>1.1598405219282296E-2</v>
      </c>
      <c r="J53" s="10">
        <f t="shared" si="114"/>
        <v>1.377605086541818E-2</v>
      </c>
      <c r="K53" s="10">
        <f t="shared" si="114"/>
        <v>1.4871116986120363E-2</v>
      </c>
      <c r="L53" s="10">
        <f>L39/L24</f>
        <v>8.25035561877672E-3</v>
      </c>
      <c r="M53" s="10">
        <f t="shared" ref="M53:N53" si="115">M39/M24</f>
        <v>2.5604142692750353E-2</v>
      </c>
      <c r="N53" s="10">
        <f t="shared" si="115"/>
        <v>1.6516951608229181E-2</v>
      </c>
      <c r="O53" s="10">
        <f t="shared" ref="O53:R53" si="116">O39/O24</f>
        <v>0</v>
      </c>
      <c r="P53" s="10">
        <f t="shared" si="116"/>
        <v>0</v>
      </c>
      <c r="Q53" s="10">
        <f t="shared" si="116"/>
        <v>0</v>
      </c>
      <c r="R53" s="10">
        <f t="shared" si="116"/>
        <v>0</v>
      </c>
      <c r="T53" s="10">
        <f t="shared" ref="T53:X53" si="117">T39/T24</f>
        <v>1.519163763066198E-2</v>
      </c>
      <c r="U53" s="10">
        <f t="shared" si="117"/>
        <v>0.10739601444429593</v>
      </c>
      <c r="V53" s="10">
        <f t="shared" si="117"/>
        <v>6.1614294516332225E-4</v>
      </c>
      <c r="W53" s="10">
        <f t="shared" si="117"/>
        <v>-3.6958699766225102E-2</v>
      </c>
      <c r="X53" s="10">
        <f t="shared" si="117"/>
        <v>2.3141452126119772E-3</v>
      </c>
      <c r="Y53" s="10">
        <f>Y39/Y24</f>
        <v>1.4344803308985254E-2</v>
      </c>
      <c r="Z53" s="10">
        <f t="shared" ref="Z53:AJ53" si="118">Z39/Z24</f>
        <v>1.6335016335016266E-2</v>
      </c>
      <c r="AA53" s="10">
        <f t="shared" si="118"/>
        <v>4.1264754633582694E-2</v>
      </c>
      <c r="AB53" s="10">
        <f t="shared" si="118"/>
        <v>7.5811322183972893E-2</v>
      </c>
      <c r="AC53" s="10">
        <f t="shared" si="118"/>
        <v>9.5107305621214361E-2</v>
      </c>
      <c r="AD53" s="10">
        <f t="shared" si="118"/>
        <v>0.10844382473769805</v>
      </c>
      <c r="AE53" s="10">
        <f t="shared" si="118"/>
        <v>0.11538803979962549</v>
      </c>
      <c r="AF53" s="10">
        <f t="shared" si="118"/>
        <v>0.12144617576006309</v>
      </c>
      <c r="AG53" s="10">
        <f t="shared" si="118"/>
        <v>0.12517318960622997</v>
      </c>
      <c r="AH53" s="10">
        <f t="shared" si="118"/>
        <v>0.12876219676872722</v>
      </c>
      <c r="AI53" s="10">
        <f t="shared" si="118"/>
        <v>0.13221833343354489</v>
      </c>
      <c r="AJ53" s="10">
        <f t="shared" si="118"/>
        <v>0.13554654373126637</v>
      </c>
      <c r="AL53" s="1" t="s">
        <v>60</v>
      </c>
      <c r="AM53" s="7" t="s">
        <v>61</v>
      </c>
    </row>
    <row r="56" spans="2:39">
      <c r="B56" s="1" t="s">
        <v>55</v>
      </c>
    </row>
    <row r="57" spans="2:39">
      <c r="B57" s="1" t="s">
        <v>4</v>
      </c>
    </row>
    <row r="58" spans="2:39">
      <c r="B58" s="1" t="s">
        <v>99</v>
      </c>
    </row>
    <row r="60" spans="2:39" s="34" customFormat="1">
      <c r="B60" s="34" t="s">
        <v>100</v>
      </c>
      <c r="J60" s="34">
        <v>1950.9</v>
      </c>
      <c r="L60" s="34">
        <v>2585.6999999999998</v>
      </c>
      <c r="Z60" s="34">
        <v>2423.3000000000002</v>
      </c>
    </row>
    <row r="62" spans="2:39">
      <c r="B62" s="1" t="s">
        <v>101</v>
      </c>
      <c r="L62" s="35"/>
      <c r="Z62" s="35">
        <f>Main!$D$9/Model!Z60</f>
        <v>6.1835072009243595</v>
      </c>
    </row>
    <row r="63" spans="2:39">
      <c r="B63" s="1" t="s">
        <v>102</v>
      </c>
      <c r="L63" s="10"/>
      <c r="Z63" s="10">
        <f>Z60/Main!$D$9-1</f>
        <v>-0.8382794799930835</v>
      </c>
    </row>
  </sheetData>
  <phoneticPr fontId="4"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2D307-0F41-4E95-B1D6-BCF6AF665BB0}">
  <dimension ref="B2:L40"/>
  <sheetViews>
    <sheetView workbookViewId="0">
      <selection activeCell="G17" sqref="G17"/>
    </sheetView>
  </sheetViews>
  <sheetFormatPr defaultRowHeight="14.4"/>
  <cols>
    <col min="1" max="16384" width="8.88671875" style="1"/>
  </cols>
  <sheetData>
    <row r="2" spans="2:12">
      <c r="B2" s="12"/>
      <c r="E2" s="15" t="s">
        <v>93</v>
      </c>
    </row>
    <row r="3" spans="2:12">
      <c r="B3" s="12"/>
      <c r="E3" s="18"/>
      <c r="F3" s="18"/>
      <c r="G3" s="18"/>
      <c r="H3" s="18"/>
      <c r="I3" s="18"/>
      <c r="J3" s="18"/>
      <c r="K3" s="18"/>
    </row>
    <row r="4" spans="2:12">
      <c r="B4" s="12"/>
      <c r="D4" s="16"/>
      <c r="E4" s="30" t="s">
        <v>94</v>
      </c>
      <c r="F4" s="28">
        <v>2022</v>
      </c>
      <c r="G4" s="28">
        <v>2023</v>
      </c>
      <c r="H4" s="28">
        <v>2024</v>
      </c>
      <c r="I4" s="28">
        <v>2025</v>
      </c>
      <c r="J4" s="28">
        <v>2026</v>
      </c>
      <c r="K4" s="29">
        <v>2027</v>
      </c>
      <c r="L4" s="17"/>
    </row>
    <row r="5" spans="2:12">
      <c r="B5" s="12"/>
      <c r="D5" s="16"/>
      <c r="E5" s="31" t="s">
        <v>95</v>
      </c>
      <c r="F5" s="25" t="s">
        <v>64</v>
      </c>
      <c r="G5" s="25" t="s">
        <v>69</v>
      </c>
      <c r="H5" s="25" t="s">
        <v>74</v>
      </c>
      <c r="I5" s="25" t="s">
        <v>79</v>
      </c>
      <c r="J5" s="26" t="s">
        <v>84</v>
      </c>
      <c r="K5" s="27" t="s">
        <v>89</v>
      </c>
      <c r="L5" s="17"/>
    </row>
    <row r="6" spans="2:12">
      <c r="B6" s="12"/>
      <c r="D6" s="16"/>
      <c r="E6" s="32" t="s">
        <v>96</v>
      </c>
      <c r="F6" s="14" t="s">
        <v>65</v>
      </c>
      <c r="G6" s="14" t="s">
        <v>70</v>
      </c>
      <c r="H6" s="14" t="s">
        <v>75</v>
      </c>
      <c r="I6" s="14" t="s">
        <v>80</v>
      </c>
      <c r="J6" s="13" t="s">
        <v>85</v>
      </c>
      <c r="K6" s="20" t="s">
        <v>90</v>
      </c>
      <c r="L6" s="17"/>
    </row>
    <row r="7" spans="2:12">
      <c r="B7" s="12"/>
      <c r="D7" s="16"/>
      <c r="E7" s="32" t="s">
        <v>97</v>
      </c>
      <c r="F7" s="14" t="s">
        <v>66</v>
      </c>
      <c r="G7" s="14" t="s">
        <v>71</v>
      </c>
      <c r="H7" s="14" t="s">
        <v>76</v>
      </c>
      <c r="I7" s="13" t="s">
        <v>81</v>
      </c>
      <c r="J7" s="13" t="s">
        <v>86</v>
      </c>
      <c r="K7" s="20" t="s">
        <v>91</v>
      </c>
      <c r="L7" s="17"/>
    </row>
    <row r="8" spans="2:12">
      <c r="B8" s="12"/>
      <c r="D8" s="16"/>
      <c r="E8" s="32" t="s">
        <v>98</v>
      </c>
      <c r="F8" s="14" t="s">
        <v>67</v>
      </c>
      <c r="G8" s="14" t="s">
        <v>72</v>
      </c>
      <c r="H8" s="14" t="s">
        <v>77</v>
      </c>
      <c r="I8" s="13" t="s">
        <v>82</v>
      </c>
      <c r="J8" s="13" t="s">
        <v>87</v>
      </c>
      <c r="K8" s="21" t="s">
        <v>92</v>
      </c>
      <c r="L8" s="17"/>
    </row>
    <row r="9" spans="2:12">
      <c r="B9" s="12"/>
      <c r="D9" s="16"/>
      <c r="E9" s="32"/>
      <c r="F9" s="14"/>
      <c r="G9" s="14"/>
      <c r="H9" s="14"/>
      <c r="I9" s="13"/>
      <c r="J9" s="13"/>
      <c r="K9" s="21"/>
      <c r="L9" s="17"/>
    </row>
    <row r="10" spans="2:12">
      <c r="B10" s="12"/>
      <c r="D10" s="16"/>
      <c r="E10" s="33" t="s">
        <v>63</v>
      </c>
      <c r="F10" s="22" t="s">
        <v>68</v>
      </c>
      <c r="G10" s="22" t="s">
        <v>73</v>
      </c>
      <c r="H10" s="22" t="s">
        <v>78</v>
      </c>
      <c r="I10" s="23" t="s">
        <v>83</v>
      </c>
      <c r="J10" s="23" t="s">
        <v>88</v>
      </c>
      <c r="K10" s="24" t="s">
        <v>92</v>
      </c>
      <c r="L10" s="17"/>
    </row>
    <row r="11" spans="2:12">
      <c r="B11" s="12"/>
      <c r="E11" s="19"/>
      <c r="F11" s="19"/>
      <c r="G11" s="19"/>
      <c r="H11" s="19"/>
      <c r="I11" s="19"/>
      <c r="J11" s="19"/>
      <c r="K11" s="19"/>
    </row>
    <row r="12" spans="2:12">
      <c r="B12" s="12"/>
    </row>
    <row r="13" spans="2:12">
      <c r="B13" s="12"/>
    </row>
    <row r="14" spans="2:12">
      <c r="B14" s="12"/>
    </row>
    <row r="15" spans="2:12">
      <c r="B15" s="12"/>
    </row>
    <row r="16" spans="2:12">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Model</vt:lpstr>
      <vt:lpstr>Forecasts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2025-09-04T12:08:37Z</dcterms:created>
  <dcterms:modified xsi:type="dcterms:W3CDTF">2026-02-25T13:01:16Z</dcterms:modified>
</cp:coreProperties>
</file>