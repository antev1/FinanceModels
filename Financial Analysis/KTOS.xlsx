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9FCED32-FBE4-4BAF-B187-FB05A8D9622A}" xr6:coauthVersionLast="47" xr6:coauthVersionMax="47" xr10:uidLastSave="{00000000-0000-0000-0000-000000000000}"/>
  <bookViews>
    <workbookView xWindow="-108" yWindow="-108" windowWidth="23256" windowHeight="12576" activeTab="1" xr2:uid="{4FA626FF-4A3D-49DE-9837-5D4007C2FA4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4" i="2" l="1"/>
  <c r="X25" i="2" s="1"/>
  <c r="Y4" i="2"/>
  <c r="Z4" i="2" s="1"/>
  <c r="Y5" i="2"/>
  <c r="AC10" i="2"/>
  <c r="AD10" i="2" s="1"/>
  <c r="AE10" i="2" s="1"/>
  <c r="AF10" i="2" s="1"/>
  <c r="AB10" i="2"/>
  <c r="AA10" i="2"/>
  <c r="Z10" i="2"/>
  <c r="Y10" i="2"/>
  <c r="X10" i="2"/>
  <c r="W10" i="2"/>
  <c r="N10" i="2"/>
  <c r="N30" i="2" s="1"/>
  <c r="M10" i="2"/>
  <c r="M30" i="2" s="1"/>
  <c r="AI32" i="2"/>
  <c r="AI29" i="2"/>
  <c r="AF21" i="2"/>
  <c r="AE21" i="2"/>
  <c r="AD21" i="2"/>
  <c r="AC21" i="2"/>
  <c r="AB21" i="2"/>
  <c r="AA21" i="2"/>
  <c r="Z21" i="2"/>
  <c r="Y21" i="2"/>
  <c r="X21" i="2"/>
  <c r="X16" i="2"/>
  <c r="Y16" i="2" s="1"/>
  <c r="Z16" i="2" s="1"/>
  <c r="AA16" i="2" s="1"/>
  <c r="AB16" i="2" s="1"/>
  <c r="AC16" i="2" s="1"/>
  <c r="AD16" i="2" s="1"/>
  <c r="AE16" i="2" s="1"/>
  <c r="AF16" i="2" s="1"/>
  <c r="Y12" i="2"/>
  <c r="Y31" i="2" s="1"/>
  <c r="X12" i="2"/>
  <c r="W21" i="2"/>
  <c r="W16" i="2"/>
  <c r="W12" i="2"/>
  <c r="AF6" i="2"/>
  <c r="AE6" i="2"/>
  <c r="AD6" i="2"/>
  <c r="AC6" i="2"/>
  <c r="AB6" i="2"/>
  <c r="AA6" i="2"/>
  <c r="Z6" i="2"/>
  <c r="Y6" i="2"/>
  <c r="X6" i="2"/>
  <c r="W7" i="2"/>
  <c r="W28" i="2" s="1"/>
  <c r="W6" i="2"/>
  <c r="X5" i="2"/>
  <c r="W5" i="2"/>
  <c r="W4" i="2"/>
  <c r="AB3" i="2"/>
  <c r="AC3" i="2" s="1"/>
  <c r="AD3" i="2" s="1"/>
  <c r="AE3" i="2" s="1"/>
  <c r="AF3" i="2" s="1"/>
  <c r="AA3" i="2"/>
  <c r="Z3" i="2"/>
  <c r="Y3" i="2"/>
  <c r="X3" i="2"/>
  <c r="W3" i="2"/>
  <c r="W27" i="2" s="1"/>
  <c r="N7" i="2"/>
  <c r="N28" i="2" s="1"/>
  <c r="M7" i="2"/>
  <c r="N21" i="2"/>
  <c r="M21" i="2"/>
  <c r="M14" i="2"/>
  <c r="N6" i="2"/>
  <c r="M6" i="2"/>
  <c r="N31" i="2"/>
  <c r="M31" i="2"/>
  <c r="M28" i="2"/>
  <c r="N27" i="2"/>
  <c r="M27" i="2"/>
  <c r="N26" i="2"/>
  <c r="M26" i="2"/>
  <c r="N25" i="2"/>
  <c r="M25" i="2"/>
  <c r="N24" i="2"/>
  <c r="M24" i="2"/>
  <c r="N4" i="2"/>
  <c r="N5" i="2"/>
  <c r="M4" i="2"/>
  <c r="M5" i="2" s="1"/>
  <c r="N3" i="2"/>
  <c r="N8" i="2"/>
  <c r="M3" i="2"/>
  <c r="X31" i="2"/>
  <c r="X24" i="2"/>
  <c r="V17" i="2"/>
  <c r="V16" i="2"/>
  <c r="V13" i="2"/>
  <c r="V12" i="2"/>
  <c r="W31" i="2" s="1"/>
  <c r="V11" i="2"/>
  <c r="V7" i="2"/>
  <c r="V8" i="2" s="1"/>
  <c r="V6" i="2"/>
  <c r="V4" i="2"/>
  <c r="W25" i="2" s="1"/>
  <c r="V3" i="2"/>
  <c r="V21" i="2"/>
  <c r="U29" i="2"/>
  <c r="T29" i="2"/>
  <c r="S29" i="2"/>
  <c r="R29" i="2"/>
  <c r="Q29" i="2"/>
  <c r="P29" i="2"/>
  <c r="U28" i="2"/>
  <c r="T28" i="2"/>
  <c r="S28" i="2"/>
  <c r="R28" i="2"/>
  <c r="Q28" i="2"/>
  <c r="P28" i="2"/>
  <c r="U27" i="2"/>
  <c r="T27" i="2"/>
  <c r="S27" i="2"/>
  <c r="R27" i="2"/>
  <c r="Q27" i="2"/>
  <c r="P27" i="2"/>
  <c r="K29" i="2"/>
  <c r="J29" i="2"/>
  <c r="I29" i="2"/>
  <c r="H29" i="2"/>
  <c r="G29" i="2"/>
  <c r="K28" i="2"/>
  <c r="J28" i="2"/>
  <c r="I28" i="2"/>
  <c r="H28" i="2"/>
  <c r="G28" i="2"/>
  <c r="K27" i="2"/>
  <c r="J27" i="2"/>
  <c r="I27" i="2"/>
  <c r="H27" i="2"/>
  <c r="G27" i="2"/>
  <c r="L28" i="2"/>
  <c r="L27" i="2"/>
  <c r="T34" i="2"/>
  <c r="S34" i="2"/>
  <c r="R34" i="2"/>
  <c r="Q34" i="2"/>
  <c r="P34" i="2"/>
  <c r="T33" i="2"/>
  <c r="S33" i="2"/>
  <c r="R33" i="2"/>
  <c r="Q33" i="2"/>
  <c r="P33" i="2"/>
  <c r="T32" i="2"/>
  <c r="S32" i="2"/>
  <c r="R32" i="2"/>
  <c r="Q32" i="2"/>
  <c r="P32" i="2"/>
  <c r="T31" i="2"/>
  <c r="S31" i="2"/>
  <c r="R31" i="2"/>
  <c r="Q31" i="2"/>
  <c r="T30" i="2"/>
  <c r="S30" i="2"/>
  <c r="R30" i="2"/>
  <c r="Q30" i="2"/>
  <c r="T26" i="2"/>
  <c r="S26" i="2"/>
  <c r="R26" i="2"/>
  <c r="Q26" i="2"/>
  <c r="T25" i="2"/>
  <c r="S25" i="2"/>
  <c r="R25" i="2"/>
  <c r="Q25" i="2"/>
  <c r="T24" i="2"/>
  <c r="S24" i="2"/>
  <c r="R24" i="2"/>
  <c r="Q24" i="2"/>
  <c r="U31" i="2"/>
  <c r="U30" i="2"/>
  <c r="U26" i="2"/>
  <c r="U25" i="2"/>
  <c r="U24" i="2"/>
  <c r="U34" i="2"/>
  <c r="U33" i="2"/>
  <c r="U32" i="2"/>
  <c r="P21" i="2"/>
  <c r="P14" i="2"/>
  <c r="P8" i="2"/>
  <c r="P5" i="2"/>
  <c r="Q21" i="2"/>
  <c r="Q14" i="2"/>
  <c r="Q8" i="2"/>
  <c r="Q5" i="2"/>
  <c r="R21" i="2"/>
  <c r="R14" i="2"/>
  <c r="R8" i="2"/>
  <c r="R5" i="2"/>
  <c r="K34" i="2"/>
  <c r="J34" i="2"/>
  <c r="I34" i="2"/>
  <c r="H34" i="2"/>
  <c r="G34" i="2"/>
  <c r="E34" i="2"/>
  <c r="K33" i="2"/>
  <c r="J33" i="2"/>
  <c r="I33" i="2"/>
  <c r="H33" i="2"/>
  <c r="G33" i="2"/>
  <c r="E33" i="2"/>
  <c r="K32" i="2"/>
  <c r="J32" i="2"/>
  <c r="I32" i="2"/>
  <c r="H32" i="2"/>
  <c r="G32" i="2"/>
  <c r="E32" i="2"/>
  <c r="K31" i="2"/>
  <c r="I31" i="2"/>
  <c r="K30" i="2"/>
  <c r="I30" i="2"/>
  <c r="E28" i="2"/>
  <c r="E27" i="2"/>
  <c r="K26" i="2"/>
  <c r="I26" i="2"/>
  <c r="K25" i="2"/>
  <c r="I25" i="2"/>
  <c r="K24" i="2"/>
  <c r="I24" i="2"/>
  <c r="L31" i="2"/>
  <c r="L30" i="2"/>
  <c r="L26" i="2"/>
  <c r="L25" i="2"/>
  <c r="L24" i="2"/>
  <c r="J19" i="2"/>
  <c r="J20" i="2" s="1"/>
  <c r="J17" i="2"/>
  <c r="J16" i="2"/>
  <c r="J13" i="2"/>
  <c r="J12" i="2"/>
  <c r="J11" i="2"/>
  <c r="J10" i="2"/>
  <c r="J14" i="2" s="1"/>
  <c r="J7" i="2"/>
  <c r="J6" i="2"/>
  <c r="J4" i="2"/>
  <c r="J3" i="2"/>
  <c r="J21" i="2"/>
  <c r="J8" i="2"/>
  <c r="J5" i="2"/>
  <c r="E21" i="2"/>
  <c r="E14" i="2"/>
  <c r="E8" i="2"/>
  <c r="E5" i="2"/>
  <c r="I21" i="2"/>
  <c r="I14" i="2"/>
  <c r="I8" i="2"/>
  <c r="I5" i="2"/>
  <c r="S17" i="2"/>
  <c r="S21" i="2"/>
  <c r="S14" i="2"/>
  <c r="S8" i="2"/>
  <c r="S5" i="2"/>
  <c r="T21" i="2"/>
  <c r="T14" i="2"/>
  <c r="T8" i="2"/>
  <c r="T5" i="2"/>
  <c r="U14" i="2"/>
  <c r="L14" i="2"/>
  <c r="K14" i="2"/>
  <c r="H14" i="2"/>
  <c r="G14" i="2"/>
  <c r="U21" i="2"/>
  <c r="U8" i="2"/>
  <c r="U5" i="2"/>
  <c r="G21" i="2"/>
  <c r="G8" i="2"/>
  <c r="G5" i="2"/>
  <c r="K21" i="2"/>
  <c r="K8" i="2"/>
  <c r="K5" i="2"/>
  <c r="H21" i="2"/>
  <c r="H8" i="2"/>
  <c r="H5" i="2"/>
  <c r="L21" i="2"/>
  <c r="L8" i="2"/>
  <c r="L5" i="2"/>
  <c r="L9" i="2" s="1"/>
  <c r="L29" i="2" s="1"/>
  <c r="D9" i="1"/>
  <c r="D8" i="1"/>
  <c r="D7" i="1"/>
  <c r="D6" i="1"/>
  <c r="D5" i="1"/>
  <c r="D4" i="1"/>
  <c r="F3" i="1"/>
  <c r="Z5" i="2" l="1"/>
  <c r="Z26" i="2" s="1"/>
  <c r="AA4" i="2"/>
  <c r="AB4" i="2" s="1"/>
  <c r="AC4" i="2" s="1"/>
  <c r="AD4" i="2" s="1"/>
  <c r="AE4" i="2" s="1"/>
  <c r="AF4" i="2" s="1"/>
  <c r="X7" i="2"/>
  <c r="X8" i="2" s="1"/>
  <c r="X9" i="2" s="1"/>
  <c r="X29" i="2" s="1"/>
  <c r="W8" i="2"/>
  <c r="W9" i="2" s="1"/>
  <c r="W29" i="2" s="1"/>
  <c r="X26" i="2"/>
  <c r="Z7" i="2"/>
  <c r="Z8" i="2" s="1"/>
  <c r="Y7" i="2"/>
  <c r="Y8" i="2" s="1"/>
  <c r="Y9" i="2" s="1"/>
  <c r="Y29" i="2" s="1"/>
  <c r="N14" i="2"/>
  <c r="Z12" i="2"/>
  <c r="Y26" i="2"/>
  <c r="Y25" i="2"/>
  <c r="Y27" i="2"/>
  <c r="X27" i="2"/>
  <c r="Y24" i="2"/>
  <c r="M8" i="2"/>
  <c r="V10" i="2"/>
  <c r="V27" i="2"/>
  <c r="M9" i="2"/>
  <c r="N9" i="2"/>
  <c r="V28" i="2"/>
  <c r="V25" i="2"/>
  <c r="V31" i="2"/>
  <c r="V24" i="2"/>
  <c r="W24" i="2"/>
  <c r="V5" i="2"/>
  <c r="P9" i="2"/>
  <c r="P15" i="2" s="1"/>
  <c r="P18" i="2" s="1"/>
  <c r="P20" i="2" s="1"/>
  <c r="P22" i="2" s="1"/>
  <c r="Q9" i="2"/>
  <c r="Q15" i="2" s="1"/>
  <c r="Q18" i="2" s="1"/>
  <c r="Q20" i="2" s="1"/>
  <c r="Q22" i="2" s="1"/>
  <c r="R9" i="2"/>
  <c r="R15" i="2" s="1"/>
  <c r="R18" i="2" s="1"/>
  <c r="R20" i="2" s="1"/>
  <c r="R22" i="2" s="1"/>
  <c r="J9" i="2"/>
  <c r="J15" i="2" s="1"/>
  <c r="J18" i="2" s="1"/>
  <c r="J22" i="2" s="1"/>
  <c r="E9" i="2"/>
  <c r="E15" i="2" s="1"/>
  <c r="E18" i="2" s="1"/>
  <c r="E20" i="2" s="1"/>
  <c r="E22" i="2" s="1"/>
  <c r="I9" i="2"/>
  <c r="I15" i="2" s="1"/>
  <c r="I18" i="2" s="1"/>
  <c r="I20" i="2" s="1"/>
  <c r="I22" i="2" s="1"/>
  <c r="S9" i="2"/>
  <c r="S15" i="2" s="1"/>
  <c r="S18" i="2" s="1"/>
  <c r="S20" i="2" s="1"/>
  <c r="S22" i="2" s="1"/>
  <c r="T9" i="2"/>
  <c r="T15" i="2" s="1"/>
  <c r="T18" i="2" s="1"/>
  <c r="T20" i="2" s="1"/>
  <c r="T22" i="2" s="1"/>
  <c r="L15" i="2"/>
  <c r="U9" i="2"/>
  <c r="G9" i="2"/>
  <c r="K9" i="2"/>
  <c r="H9" i="2"/>
  <c r="X28" i="2" l="1"/>
  <c r="Z9" i="2"/>
  <c r="Z29" i="2" s="1"/>
  <c r="AA7" i="2"/>
  <c r="AA8" i="2" s="1"/>
  <c r="AA5" i="2"/>
  <c r="Y28" i="2"/>
  <c r="V30" i="2"/>
  <c r="V14" i="2"/>
  <c r="Z31" i="2"/>
  <c r="AA12" i="2"/>
  <c r="Z28" i="2"/>
  <c r="Z25" i="2"/>
  <c r="Z27" i="2"/>
  <c r="Z24" i="2"/>
  <c r="N29" i="2"/>
  <c r="N15" i="2"/>
  <c r="M29" i="2"/>
  <c r="M15" i="2"/>
  <c r="W30" i="2"/>
  <c r="L18" i="2"/>
  <c r="L32" i="2"/>
  <c r="W26" i="2"/>
  <c r="V26" i="2"/>
  <c r="V9" i="2"/>
  <c r="H15" i="2"/>
  <c r="H18" i="2" s="1"/>
  <c r="H20" i="2" s="1"/>
  <c r="H22" i="2" s="1"/>
  <c r="K15" i="2"/>
  <c r="K18" i="2" s="1"/>
  <c r="K20" i="2" s="1"/>
  <c r="K22" i="2" s="1"/>
  <c r="G15" i="2"/>
  <c r="G18" i="2" s="1"/>
  <c r="G20" i="2" s="1"/>
  <c r="G22" i="2" s="1"/>
  <c r="U15" i="2"/>
  <c r="U18" i="2" s="1"/>
  <c r="U20" i="2" s="1"/>
  <c r="U22" i="2" s="1"/>
  <c r="AB7" i="2" l="1"/>
  <c r="AB8" i="2" s="1"/>
  <c r="AB5" i="2"/>
  <c r="AA9" i="2"/>
  <c r="AA29" i="2" s="1"/>
  <c r="AA26" i="2"/>
  <c r="W14" i="2"/>
  <c r="W15" i="2" s="1"/>
  <c r="AB12" i="2"/>
  <c r="AA31" i="2"/>
  <c r="AA28" i="2"/>
  <c r="AA25" i="2"/>
  <c r="AA27" i="2"/>
  <c r="AA24" i="2"/>
  <c r="N32" i="2"/>
  <c r="N18" i="2"/>
  <c r="M32" i="2"/>
  <c r="M18" i="2"/>
  <c r="L20" i="2"/>
  <c r="L33" i="2"/>
  <c r="V15" i="2"/>
  <c r="V29" i="2"/>
  <c r="AB26" i="2" l="1"/>
  <c r="AC7" i="2"/>
  <c r="AC8" i="2" s="1"/>
  <c r="AC9" i="2" s="1"/>
  <c r="AC29" i="2" s="1"/>
  <c r="AC5" i="2"/>
  <c r="AC26" i="2" s="1"/>
  <c r="AB9" i="2"/>
  <c r="AB29" i="2" s="1"/>
  <c r="W18" i="2"/>
  <c r="W32" i="2"/>
  <c r="X30" i="2"/>
  <c r="X14" i="2"/>
  <c r="X15" i="2" s="1"/>
  <c r="AC12" i="2"/>
  <c r="AB31" i="2"/>
  <c r="AB28" i="2"/>
  <c r="AB25" i="2"/>
  <c r="AB24" i="2"/>
  <c r="AB27" i="2"/>
  <c r="N19" i="2"/>
  <c r="N33" i="2" s="1"/>
  <c r="M19" i="2"/>
  <c r="M20" i="2"/>
  <c r="L22" i="2"/>
  <c r="L34" i="2"/>
  <c r="V18" i="2"/>
  <c r="V32" i="2"/>
  <c r="AD7" i="2" l="1"/>
  <c r="AD8" i="2" s="1"/>
  <c r="AD5" i="2"/>
  <c r="AD26" i="2" s="1"/>
  <c r="X32" i="2"/>
  <c r="X18" i="2"/>
  <c r="W19" i="2"/>
  <c r="W33" i="2" s="1"/>
  <c r="Y30" i="2"/>
  <c r="Y14" i="2"/>
  <c r="Y15" i="2" s="1"/>
  <c r="AD12" i="2"/>
  <c r="AC31" i="2"/>
  <c r="AC28" i="2"/>
  <c r="AC25" i="2"/>
  <c r="AC24" i="2"/>
  <c r="AC27" i="2"/>
  <c r="N20" i="2"/>
  <c r="M22" i="2"/>
  <c r="M34" i="2"/>
  <c r="M33" i="2"/>
  <c r="V19" i="2"/>
  <c r="V20" i="2" s="1"/>
  <c r="AD9" i="2" l="1"/>
  <c r="AD29" i="2" s="1"/>
  <c r="AE5" i="2"/>
  <c r="AE26" i="2" s="1"/>
  <c r="AE7" i="2"/>
  <c r="AE8" i="2" s="1"/>
  <c r="AE9" i="2" s="1"/>
  <c r="AE29" i="2" s="1"/>
  <c r="W20" i="2"/>
  <c r="W22" i="2" s="1"/>
  <c r="Y18" i="2"/>
  <c r="Y32" i="2"/>
  <c r="Z30" i="2"/>
  <c r="Z14" i="2"/>
  <c r="Z15" i="2" s="1"/>
  <c r="W34" i="2"/>
  <c r="X19" i="2"/>
  <c r="X33" i="2" s="1"/>
  <c r="AE12" i="2"/>
  <c r="AD31" i="2"/>
  <c r="AD28" i="2"/>
  <c r="AD25" i="2"/>
  <c r="AD27" i="2"/>
  <c r="AD24" i="2"/>
  <c r="V33" i="2"/>
  <c r="N22" i="2"/>
  <c r="N34" i="2"/>
  <c r="V22" i="2"/>
  <c r="V34" i="2"/>
  <c r="AF5" i="2" l="1"/>
  <c r="AF26" i="2" s="1"/>
  <c r="AF7" i="2"/>
  <c r="AF8" i="2" s="1"/>
  <c r="AF9" i="2" s="1"/>
  <c r="AF29" i="2" s="1"/>
  <c r="X20" i="2"/>
  <c r="X22" i="2" s="1"/>
  <c r="AA30" i="2"/>
  <c r="AA14" i="2"/>
  <c r="AA15" i="2" s="1"/>
  <c r="Y19" i="2"/>
  <c r="Y33" i="2" s="1"/>
  <c r="Z18" i="2"/>
  <c r="Z32" i="2"/>
  <c r="AF12" i="2"/>
  <c r="AF31" i="2" s="1"/>
  <c r="AE31" i="2"/>
  <c r="AE25" i="2"/>
  <c r="AE28" i="2"/>
  <c r="AE27" i="2"/>
  <c r="AE24" i="2"/>
  <c r="X34" i="2" l="1"/>
  <c r="Y20" i="2"/>
  <c r="Z19" i="2"/>
  <c r="Z33" i="2" s="1"/>
  <c r="Z20" i="2"/>
  <c r="AB30" i="2"/>
  <c r="AB14" i="2"/>
  <c r="AB15" i="2" s="1"/>
  <c r="AA32" i="2"/>
  <c r="AA18" i="2"/>
  <c r="AF25" i="2"/>
  <c r="AF28" i="2"/>
  <c r="AF27" i="2"/>
  <c r="AF24" i="2"/>
  <c r="Y22" i="2" l="1"/>
  <c r="Y34" i="2"/>
  <c r="AB32" i="2"/>
  <c r="AB18" i="2"/>
  <c r="AC14" i="2"/>
  <c r="AC15" i="2" s="1"/>
  <c r="AC30" i="2"/>
  <c r="Z34" i="2"/>
  <c r="Z22" i="2"/>
  <c r="AA19" i="2"/>
  <c r="AA33" i="2" s="1"/>
  <c r="AA20" i="2" l="1"/>
  <c r="AA34" i="2" s="1"/>
  <c r="AC18" i="2"/>
  <c r="AC32" i="2"/>
  <c r="AD30" i="2"/>
  <c r="AD14" i="2"/>
  <c r="AD15" i="2" s="1"/>
  <c r="AB19" i="2"/>
  <c r="AB33" i="2" s="1"/>
  <c r="AA22" i="2" l="1"/>
  <c r="AC19" i="2"/>
  <c r="AC33" i="2" s="1"/>
  <c r="AB20" i="2"/>
  <c r="AD18" i="2"/>
  <c r="AD32" i="2"/>
  <c r="AE14" i="2"/>
  <c r="AE15" i="2" s="1"/>
  <c r="AE30" i="2"/>
  <c r="AE32" i="2" l="1"/>
  <c r="AE18" i="2"/>
  <c r="AD19" i="2"/>
  <c r="AD33" i="2" s="1"/>
  <c r="AB34" i="2"/>
  <c r="AB22" i="2"/>
  <c r="AF14" i="2"/>
  <c r="AF15" i="2" s="1"/>
  <c r="AF30" i="2"/>
  <c r="AC20" i="2"/>
  <c r="AF32" i="2" l="1"/>
  <c r="AF18" i="2"/>
  <c r="AD20" i="2"/>
  <c r="AC34" i="2"/>
  <c r="AC22" i="2"/>
  <c r="AE19" i="2"/>
  <c r="AE33" i="2" s="1"/>
  <c r="AE20" i="2" l="1"/>
  <c r="AE22" i="2" s="1"/>
  <c r="AD22" i="2"/>
  <c r="AD34" i="2"/>
  <c r="AF19" i="2"/>
  <c r="AF33" i="2" s="1"/>
  <c r="AE34" i="2" l="1"/>
  <c r="AF20" i="2"/>
  <c r="AG20" i="2" s="1"/>
  <c r="AH20" i="2" s="1"/>
  <c r="AI20" i="2" s="1"/>
  <c r="AJ20" i="2" s="1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AI28" i="2" s="1"/>
  <c r="AI30" i="2" s="1"/>
  <c r="AI31" i="2" s="1"/>
  <c r="AI33" i="2" s="1"/>
  <c r="AF22" i="2" l="1"/>
  <c r="AF34" i="2"/>
</calcChain>
</file>

<file path=xl/sharedStrings.xml><?xml version="1.0" encoding="utf-8"?>
<sst xmlns="http://schemas.openxmlformats.org/spreadsheetml/2006/main" count="67" uniqueCount="62">
  <si>
    <t>KTOS</t>
  </si>
  <si>
    <t>Price</t>
  </si>
  <si>
    <t>Shares</t>
  </si>
  <si>
    <t>MC</t>
  </si>
  <si>
    <t>Cash</t>
  </si>
  <si>
    <t>Debt</t>
  </si>
  <si>
    <t>EV</t>
  </si>
  <si>
    <t>Net Cash</t>
  </si>
  <si>
    <t>Last checked</t>
  </si>
  <si>
    <t>Today</t>
  </si>
  <si>
    <t>Earnings</t>
  </si>
  <si>
    <t>Q225</t>
  </si>
  <si>
    <t>Gross profit</t>
  </si>
  <si>
    <t>Total revenue</t>
  </si>
  <si>
    <t>Service revenue</t>
  </si>
  <si>
    <t>Product revenue</t>
  </si>
  <si>
    <t>Service cost</t>
  </si>
  <si>
    <t>Product cost</t>
  </si>
  <si>
    <t>Total cost of sales</t>
  </si>
  <si>
    <t>SG&amp;A</t>
  </si>
  <si>
    <t>R&amp;D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</si>
  <si>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</si>
  <si>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</si>
  <si>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</si>
  <si>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</si>
  <si>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</si>
  <si>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</si>
  <si>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</si>
  <si>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Q124</t>
  </si>
  <si>
    <t>Q224</t>
  </si>
  <si>
    <t>Q324</t>
  </si>
  <si>
    <t>Q424</t>
  </si>
  <si>
    <t>Q125</t>
  </si>
  <si>
    <t>Q325</t>
  </si>
  <si>
    <t>Q425</t>
  </si>
  <si>
    <t>Q123</t>
  </si>
  <si>
    <t>Q223</t>
  </si>
  <si>
    <t>Q323</t>
  </si>
  <si>
    <t>Q423</t>
  </si>
  <si>
    <t>Total opex</t>
  </si>
  <si>
    <t>Restructuring</t>
  </si>
  <si>
    <t>Investments</t>
  </si>
  <si>
    <t>Service revenue y/y</t>
  </si>
  <si>
    <t>Product revenue y/y</t>
  </si>
  <si>
    <t>Total revenue y/y</t>
  </si>
  <si>
    <t>Service Margin</t>
  </si>
  <si>
    <t>Product Margin</t>
  </si>
  <si>
    <t>Gross Margin</t>
  </si>
  <si>
    <t>SG&amp;A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</si>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</sst>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15240</xdr:colOff>
      <xdr:row>0</xdr:row>
      <xdr:rowOff>7620</xdr:rowOff>
    </xdr:from>
    <xdr:to>
      <xdr:col>12</xdr:col>
      <xdr:colOff>15240</xdr:colOff>
      <xdr:row>38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B4B1400-3D6B-02B8-71F3-082D1B356E15}"/>
            </a:ext>
          </a:extLst>
        </xdr:cNvPr>
        <xdr:cNvCxnSpPr/>
      </xdr:nvCxnSpPr>
      <xdr:spPr>
        <a:xfrm>
          <a:off x="7924800" y="7620"/>
          <a:ext cx="0" cy="7048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38100</xdr:colOff>
      <xdr:row>0</xdr:row>
      <xdr:rowOff>0</xdr:rowOff>
    </xdr:from>
    <xdr:to>
      <xdr:col>21</xdr:col>
      <xdr:colOff>38100</xdr:colOff>
      <xdr:row>38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94E3B0E-1264-4179-AAEB-BADDC789BCE0}"/>
            </a:ext>
          </a:extLst>
        </xdr:cNvPr>
        <xdr:cNvCxnSpPr/>
      </xdr:nvCxnSpPr>
      <xdr:spPr>
        <a:xfrm>
          <a:off x="13434060" y="0"/>
          <a:ext cx="0" cy="70561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50F1-21AE-470A-85EA-C490AC7F5878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4">
        <v>64.39</v>
      </c>
      <c r="E3" s="5">
        <v>45904</v>
      </c>
      <c r="F3" s="5">
        <f ca="1">TODAY()</f>
        <v>45927</v>
      </c>
      <c r="G3" s="5">
        <v>45960</v>
      </c>
    </row>
    <row r="4" spans="2:7" x14ac:dyDescent="0.3">
      <c r="C4" s="1" t="s">
        <v>2</v>
      </c>
      <c r="D4" s="6">
        <f>168.8</f>
        <v>168.8</v>
      </c>
      <c r="E4" s="3" t="s">
        <v>11</v>
      </c>
    </row>
    <row r="5" spans="2:7" x14ac:dyDescent="0.3">
      <c r="C5" s="1" t="s">
        <v>3</v>
      </c>
      <c r="D5" s="6">
        <f>D3*D4</f>
        <v>10869.032000000001</v>
      </c>
    </row>
    <row r="6" spans="2:7" x14ac:dyDescent="0.3">
      <c r="C6" s="1" t="s">
        <v>4</v>
      </c>
      <c r="D6" s="6">
        <f>783.6</f>
        <v>783.6</v>
      </c>
      <c r="E6" s="3" t="s">
        <v>11</v>
      </c>
    </row>
    <row r="7" spans="2:7" x14ac:dyDescent="0.3">
      <c r="C7" s="1" t="s">
        <v>5</v>
      </c>
      <c r="D7" s="6">
        <f>169.8</f>
        <v>169.8</v>
      </c>
      <c r="E7" s="3" t="s">
        <v>11</v>
      </c>
    </row>
    <row r="8" spans="2:7" x14ac:dyDescent="0.3">
      <c r="C8" s="1" t="s">
        <v>7</v>
      </c>
      <c r="D8" s="6">
        <f>D6-D7</f>
        <v>613.79999999999995</v>
      </c>
    </row>
    <row r="9" spans="2:7" x14ac:dyDescent="0.3">
      <c r="C9" s="1" t="s">
        <v>6</v>
      </c>
      <c r="D9" s="6">
        <f>D5-D8</f>
        <v>10255.232000000002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37CCB-0B59-41FB-A535-43E374CC36C0}">
  <dimension ref="B2:EG34"/>
  <sheetViews>
    <sheetView tabSelected="1" zoomScaleNormal="100" workbookViewId="0">
      <pane xSplit="2" ySplit="2" topLeftCell="S15" activePane="bottomRight" state="frozen"/>
      <selection pane="topRight" activeCell="C1" sqref="C1"/>
      <selection pane="bottomLeft" activeCell="A3" sqref="A3"/>
      <selection pane="bottomRight" activeCell="W4" sqref="W4:AF4"/>
    </sheetView>
  </sheetViews>
  <sheetFormatPr defaultRowHeight="14.4" x14ac:dyDescent="0.3"/>
  <cols>
    <col min="1" max="1" width="8.88671875" style="1"/>
    <col min="2" max="2" width="17.5546875" style="1" bestFit="1" customWidth="1"/>
    <col min="3" max="6" width="8.88671875" style="1" customWidth="1"/>
    <col min="7" max="33" width="8.88671875" style="1"/>
    <col min="34" max="34" width="13.88671875" style="1" customWidth="1"/>
    <col min="35" max="35" width="16.44140625" style="1" bestFit="1" customWidth="1"/>
    <col min="36" max="16384" width="8.88671875" style="1"/>
  </cols>
  <sheetData>
    <row r="2" spans="2:32" x14ac:dyDescent="0.3">
      <c r="C2" s="7" t="s">
        <v>35</v>
      </c>
      <c r="D2" s="7" t="s">
        <v>36</v>
      </c>
      <c r="E2" s="7" t="s">
        <v>37</v>
      </c>
      <c r="F2" s="7" t="s">
        <v>38</v>
      </c>
      <c r="G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L2" s="7" t="s">
        <v>11</v>
      </c>
      <c r="M2" s="7" t="s">
        <v>33</v>
      </c>
      <c r="N2" s="7" t="s">
        <v>34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 x14ac:dyDescent="0.3">
      <c r="B3" s="1" t="s">
        <v>14</v>
      </c>
      <c r="E3" s="6">
        <v>106.5</v>
      </c>
      <c r="G3" s="6">
        <v>106.5</v>
      </c>
      <c r="H3" s="6">
        <v>106.5</v>
      </c>
      <c r="I3" s="6">
        <v>103.9</v>
      </c>
      <c r="J3" s="6">
        <f>U3-I3-H3-G3</f>
        <v>106.5</v>
      </c>
      <c r="K3" s="6">
        <v>102.4</v>
      </c>
      <c r="L3" s="6">
        <v>134.9</v>
      </c>
      <c r="M3" s="6">
        <f>I3*1.08</f>
        <v>112.21200000000002</v>
      </c>
      <c r="N3" s="6">
        <f>J3*1.08</f>
        <v>115.02000000000001</v>
      </c>
      <c r="P3" s="6">
        <v>272.60000000000002</v>
      </c>
      <c r="Q3" s="6">
        <v>248.7</v>
      </c>
      <c r="R3" s="6">
        <v>219.4</v>
      </c>
      <c r="S3" s="6">
        <v>325.2</v>
      </c>
      <c r="T3" s="6">
        <v>402.6</v>
      </c>
      <c r="U3" s="6">
        <v>423.4</v>
      </c>
      <c r="V3" s="6">
        <f>SUM(K3:N3)</f>
        <v>464.53200000000004</v>
      </c>
      <c r="W3" s="6">
        <f>V3*1.06</f>
        <v>492.40392000000008</v>
      </c>
      <c r="X3" s="6">
        <f>W3*1.04</f>
        <v>512.10007680000012</v>
      </c>
      <c r="Y3" s="6">
        <f>X3*1.03</f>
        <v>527.46307910400014</v>
      </c>
      <c r="Z3" s="6">
        <f>Y3*1.02</f>
        <v>538.01234068608017</v>
      </c>
      <c r="AA3" s="6">
        <f t="shared" ref="AA3:AF3" si="0">Z3*1.02</f>
        <v>548.77258749980183</v>
      </c>
      <c r="AB3" s="6">
        <f t="shared" si="0"/>
        <v>559.7480392497979</v>
      </c>
      <c r="AC3" s="6">
        <f t="shared" si="0"/>
        <v>570.94300003479384</v>
      </c>
      <c r="AD3" s="6">
        <f t="shared" si="0"/>
        <v>582.36186003548971</v>
      </c>
      <c r="AE3" s="6">
        <f t="shared" si="0"/>
        <v>594.00909723619952</v>
      </c>
      <c r="AF3" s="6">
        <f t="shared" si="0"/>
        <v>605.8892791809235</v>
      </c>
    </row>
    <row r="4" spans="2:32" x14ac:dyDescent="0.3">
      <c r="B4" s="1" t="s">
        <v>15</v>
      </c>
      <c r="E4" s="6">
        <v>168.1</v>
      </c>
      <c r="G4" s="6">
        <v>170.7</v>
      </c>
      <c r="H4" s="6">
        <v>193.6</v>
      </c>
      <c r="I4" s="6">
        <v>172</v>
      </c>
      <c r="J4" s="6">
        <f>U4-I4-H4-G4</f>
        <v>176.59999999999997</v>
      </c>
      <c r="K4" s="6">
        <v>200.2</v>
      </c>
      <c r="L4" s="6">
        <v>216.6</v>
      </c>
      <c r="M4" s="6">
        <f>I4*1.12</f>
        <v>192.64000000000001</v>
      </c>
      <c r="N4" s="6">
        <f>J4*1.15</f>
        <v>203.08999999999995</v>
      </c>
      <c r="P4" s="6">
        <v>444.9</v>
      </c>
      <c r="Q4" s="6">
        <v>499</v>
      </c>
      <c r="R4" s="6">
        <v>592.1</v>
      </c>
      <c r="S4" s="6">
        <v>573.1</v>
      </c>
      <c r="T4" s="6">
        <v>634.5</v>
      </c>
      <c r="U4" s="6">
        <v>712.9</v>
      </c>
      <c r="V4" s="6">
        <f>SUM(K4:N4)</f>
        <v>812.52999999999986</v>
      </c>
      <c r="W4" s="6">
        <f>V4*1.09</f>
        <v>885.65769999999986</v>
      </c>
      <c r="X4" s="6">
        <f>W4*1.07</f>
        <v>947.65373899999986</v>
      </c>
      <c r="Y4" s="6">
        <f>X4*1.05</f>
        <v>995.03642594999985</v>
      </c>
      <c r="Z4" s="6">
        <f>Y4*1.04</f>
        <v>1034.8378829879998</v>
      </c>
      <c r="AA4" s="6">
        <f>Z4*1.03</f>
        <v>1065.8830194776399</v>
      </c>
      <c r="AB4" s="6">
        <f>AA4*1.02</f>
        <v>1087.2006798671928</v>
      </c>
      <c r="AC4" s="6">
        <f t="shared" ref="AC4:AF4" si="1">AB4*1.02</f>
        <v>1108.9446934645366</v>
      </c>
      <c r="AD4" s="6">
        <f t="shared" si="1"/>
        <v>1131.1235873338273</v>
      </c>
      <c r="AE4" s="6">
        <f t="shared" si="1"/>
        <v>1153.746059080504</v>
      </c>
      <c r="AF4" s="6">
        <f t="shared" si="1"/>
        <v>1176.8209802621141</v>
      </c>
    </row>
    <row r="5" spans="2:32" s="2" customFormat="1" x14ac:dyDescent="0.3">
      <c r="B5" s="2" t="s">
        <v>13</v>
      </c>
      <c r="E5" s="9">
        <f>E3+E4</f>
        <v>274.60000000000002</v>
      </c>
      <c r="G5" s="9">
        <f t="shared" ref="G5:L5" si="2">G3+G4</f>
        <v>277.2</v>
      </c>
      <c r="H5" s="9">
        <f t="shared" si="2"/>
        <v>300.10000000000002</v>
      </c>
      <c r="I5" s="9">
        <f t="shared" si="2"/>
        <v>275.89999999999998</v>
      </c>
      <c r="J5" s="9">
        <f t="shared" si="2"/>
        <v>283.09999999999997</v>
      </c>
      <c r="K5" s="9">
        <f t="shared" si="2"/>
        <v>302.60000000000002</v>
      </c>
      <c r="L5" s="9">
        <f t="shared" si="2"/>
        <v>351.5</v>
      </c>
      <c r="M5" s="9">
        <f t="shared" ref="M5:N5" si="3">M3+M4</f>
        <v>304.85200000000003</v>
      </c>
      <c r="N5" s="9">
        <f t="shared" si="3"/>
        <v>318.10999999999996</v>
      </c>
      <c r="P5" s="9">
        <f t="shared" ref="P5:V5" si="4">P3+P4</f>
        <v>717.5</v>
      </c>
      <c r="Q5" s="9">
        <f t="shared" si="4"/>
        <v>747.7</v>
      </c>
      <c r="R5" s="9">
        <f t="shared" si="4"/>
        <v>811.5</v>
      </c>
      <c r="S5" s="9">
        <f t="shared" si="4"/>
        <v>898.3</v>
      </c>
      <c r="T5" s="9">
        <f t="shared" si="4"/>
        <v>1037.0999999999999</v>
      </c>
      <c r="U5" s="9">
        <f t="shared" si="4"/>
        <v>1136.3</v>
      </c>
      <c r="V5" s="9">
        <f t="shared" si="4"/>
        <v>1277.0619999999999</v>
      </c>
      <c r="W5" s="9">
        <f t="shared" ref="W5:AF5" si="5">W3+W4</f>
        <v>1378.0616199999999</v>
      </c>
      <c r="X5" s="9">
        <f t="shared" si="5"/>
        <v>1459.7538158</v>
      </c>
      <c r="Y5" s="9">
        <f t="shared" si="5"/>
        <v>1522.4995050540001</v>
      </c>
      <c r="Z5" s="9">
        <f t="shared" si="5"/>
        <v>1572.8502236740801</v>
      </c>
      <c r="AA5" s="9">
        <f t="shared" si="5"/>
        <v>1614.6556069774417</v>
      </c>
      <c r="AB5" s="9">
        <f t="shared" si="5"/>
        <v>1646.9487191169906</v>
      </c>
      <c r="AC5" s="9">
        <f t="shared" si="5"/>
        <v>1679.8876934993305</v>
      </c>
      <c r="AD5" s="9">
        <f t="shared" si="5"/>
        <v>1713.4854473693172</v>
      </c>
      <c r="AE5" s="9">
        <f t="shared" si="5"/>
        <v>1747.7551563167035</v>
      </c>
      <c r="AF5" s="9">
        <f t="shared" si="5"/>
        <v>1782.7102594430376</v>
      </c>
    </row>
    <row r="6" spans="2:32" x14ac:dyDescent="0.3">
      <c r="B6" s="1" t="s">
        <v>16</v>
      </c>
      <c r="E6" s="6">
        <v>79</v>
      </c>
      <c r="G6" s="6">
        <v>79.2</v>
      </c>
      <c r="H6" s="6">
        <v>77</v>
      </c>
      <c r="I6" s="6">
        <v>76.7</v>
      </c>
      <c r="J6" s="6">
        <f t="shared" ref="J6:J7" si="6">U6-I6-H6-G6</f>
        <v>77.100000000000009</v>
      </c>
      <c r="K6" s="6">
        <v>75.7</v>
      </c>
      <c r="L6" s="6">
        <v>107.2</v>
      </c>
      <c r="M6" s="6">
        <f>M3*0.75</f>
        <v>84.15900000000002</v>
      </c>
      <c r="N6" s="6">
        <f>N3*0.75</f>
        <v>86.265000000000015</v>
      </c>
      <c r="P6" s="6">
        <v>192</v>
      </c>
      <c r="Q6" s="6">
        <v>182.5</v>
      </c>
      <c r="R6" s="6">
        <v>156.19999999999999</v>
      </c>
      <c r="S6" s="6">
        <v>239</v>
      </c>
      <c r="T6" s="6">
        <v>303.2</v>
      </c>
      <c r="U6" s="6">
        <v>310</v>
      </c>
      <c r="V6" s="6">
        <f t="shared" ref="V6:V7" si="7">SUM(K6:N6)</f>
        <v>353.32400000000007</v>
      </c>
      <c r="W6" s="6">
        <f>W3*0.75</f>
        <v>369.30294000000004</v>
      </c>
      <c r="X6" s="6">
        <f>X3*0.74</f>
        <v>378.95405683200011</v>
      </c>
      <c r="Y6" s="6">
        <f>Y3*0.73</f>
        <v>385.04804774592009</v>
      </c>
      <c r="Z6" s="6">
        <f t="shared" ref="Z6:AF6" si="8">Z3*0.73</f>
        <v>392.74900870083849</v>
      </c>
      <c r="AA6" s="6">
        <f t="shared" si="8"/>
        <v>400.6039888748553</v>
      </c>
      <c r="AB6" s="6">
        <f t="shared" si="8"/>
        <v>408.61606865235245</v>
      </c>
      <c r="AC6" s="6">
        <f t="shared" si="8"/>
        <v>416.78839002539951</v>
      </c>
      <c r="AD6" s="6">
        <f t="shared" si="8"/>
        <v>425.1241578259075</v>
      </c>
      <c r="AE6" s="6">
        <f t="shared" si="8"/>
        <v>433.62664098242561</v>
      </c>
      <c r="AF6" s="6">
        <f t="shared" si="8"/>
        <v>442.29917380207416</v>
      </c>
    </row>
    <row r="7" spans="2:32" x14ac:dyDescent="0.3">
      <c r="B7" s="1" t="s">
        <v>17</v>
      </c>
      <c r="E7" s="6">
        <v>122.2</v>
      </c>
      <c r="G7" s="6">
        <v>127</v>
      </c>
      <c r="H7" s="6">
        <v>145.9</v>
      </c>
      <c r="I7" s="6">
        <v>130</v>
      </c>
      <c r="J7" s="6">
        <f t="shared" si="6"/>
        <v>136.20000000000005</v>
      </c>
      <c r="K7" s="6">
        <v>153.30000000000001</v>
      </c>
      <c r="L7" s="6">
        <v>170.5</v>
      </c>
      <c r="M7" s="6">
        <f>M4*0.77</f>
        <v>148.33280000000002</v>
      </c>
      <c r="N7" s="6">
        <f>N4*0.77</f>
        <v>156.37929999999997</v>
      </c>
      <c r="P7" s="6">
        <v>335.5</v>
      </c>
      <c r="Q7" s="6">
        <v>362</v>
      </c>
      <c r="R7" s="6">
        <v>430.2</v>
      </c>
      <c r="S7" s="6">
        <v>433.3</v>
      </c>
      <c r="T7" s="6">
        <v>465.3</v>
      </c>
      <c r="U7" s="6">
        <v>539.1</v>
      </c>
      <c r="V7" s="6">
        <f t="shared" si="7"/>
        <v>628.51210000000003</v>
      </c>
      <c r="W7" s="6">
        <f>W4*0.76</f>
        <v>673.09985199999994</v>
      </c>
      <c r="X7" s="6">
        <f>X4*0.75</f>
        <v>710.74030424999989</v>
      </c>
      <c r="Y7" s="6">
        <f t="shared" ref="Y7:AF7" si="9">Y4*0.75</f>
        <v>746.27731946249992</v>
      </c>
      <c r="Z7" s="6">
        <f t="shared" si="9"/>
        <v>776.12841224099986</v>
      </c>
      <c r="AA7" s="6">
        <f t="shared" si="9"/>
        <v>799.41226460822986</v>
      </c>
      <c r="AB7" s="6">
        <f t="shared" si="9"/>
        <v>815.40050990039458</v>
      </c>
      <c r="AC7" s="6">
        <f t="shared" si="9"/>
        <v>831.70852009840246</v>
      </c>
      <c r="AD7" s="6">
        <f t="shared" si="9"/>
        <v>848.34269050037051</v>
      </c>
      <c r="AE7" s="6">
        <f t="shared" si="9"/>
        <v>865.30954431037799</v>
      </c>
      <c r="AF7" s="6">
        <f t="shared" si="9"/>
        <v>882.61573519658555</v>
      </c>
    </row>
    <row r="8" spans="2:32" x14ac:dyDescent="0.3">
      <c r="B8" s="1" t="s">
        <v>18</v>
      </c>
      <c r="E8" s="6">
        <f>E6+E7</f>
        <v>201.2</v>
      </c>
      <c r="G8" s="6">
        <f t="shared" ref="G8:L8" si="10">G6+G7</f>
        <v>206.2</v>
      </c>
      <c r="H8" s="6">
        <f t="shared" si="10"/>
        <v>222.9</v>
      </c>
      <c r="I8" s="6">
        <f t="shared" si="10"/>
        <v>206.7</v>
      </c>
      <c r="J8" s="6">
        <f t="shared" si="10"/>
        <v>213.30000000000007</v>
      </c>
      <c r="K8" s="6">
        <f t="shared" si="10"/>
        <v>229</v>
      </c>
      <c r="L8" s="6">
        <f t="shared" si="10"/>
        <v>277.7</v>
      </c>
      <c r="M8" s="6">
        <f t="shared" ref="M8:N8" si="11">M6+M7</f>
        <v>232.49180000000004</v>
      </c>
      <c r="N8" s="6">
        <f t="shared" si="11"/>
        <v>242.64429999999999</v>
      </c>
      <c r="P8" s="6">
        <f t="shared" ref="P8:W8" si="12">P6+P7</f>
        <v>527.5</v>
      </c>
      <c r="Q8" s="6">
        <f t="shared" si="12"/>
        <v>544.5</v>
      </c>
      <c r="R8" s="6">
        <f t="shared" si="12"/>
        <v>586.4</v>
      </c>
      <c r="S8" s="6">
        <f t="shared" si="12"/>
        <v>672.3</v>
      </c>
      <c r="T8" s="6">
        <f t="shared" si="12"/>
        <v>768.5</v>
      </c>
      <c r="U8" s="6">
        <f t="shared" si="12"/>
        <v>849.1</v>
      </c>
      <c r="V8" s="6">
        <f t="shared" si="12"/>
        <v>981.8361000000001</v>
      </c>
      <c r="W8" s="6">
        <f t="shared" si="12"/>
        <v>1042.4027919999999</v>
      </c>
      <c r="X8" s="6">
        <f t="shared" ref="X8:AF8" si="13">X6+X7</f>
        <v>1089.6943610819999</v>
      </c>
      <c r="Y8" s="6">
        <f t="shared" si="13"/>
        <v>1131.3253672084199</v>
      </c>
      <c r="Z8" s="6">
        <f t="shared" si="13"/>
        <v>1168.8774209418384</v>
      </c>
      <c r="AA8" s="6">
        <f t="shared" si="13"/>
        <v>1200.0162534830852</v>
      </c>
      <c r="AB8" s="6">
        <f t="shared" si="13"/>
        <v>1224.016578552747</v>
      </c>
      <c r="AC8" s="6">
        <f t="shared" si="13"/>
        <v>1248.4969101238021</v>
      </c>
      <c r="AD8" s="6">
        <f t="shared" si="13"/>
        <v>1273.4668483262781</v>
      </c>
      <c r="AE8" s="6">
        <f t="shared" si="13"/>
        <v>1298.9361852928037</v>
      </c>
      <c r="AF8" s="6">
        <f t="shared" si="13"/>
        <v>1324.9149089986597</v>
      </c>
    </row>
    <row r="9" spans="2:32" s="2" customFormat="1" x14ac:dyDescent="0.3">
      <c r="B9" s="2" t="s">
        <v>12</v>
      </c>
      <c r="E9" s="9">
        <f>E5-E8</f>
        <v>73.400000000000034</v>
      </c>
      <c r="G9" s="9">
        <f t="shared" ref="G9:L9" si="14">G5-G8</f>
        <v>71</v>
      </c>
      <c r="H9" s="9">
        <f t="shared" si="14"/>
        <v>77.200000000000017</v>
      </c>
      <c r="I9" s="9">
        <f t="shared" si="14"/>
        <v>69.199999999999989</v>
      </c>
      <c r="J9" s="9">
        <f t="shared" si="14"/>
        <v>69.799999999999898</v>
      </c>
      <c r="K9" s="9">
        <f t="shared" si="14"/>
        <v>73.600000000000023</v>
      </c>
      <c r="L9" s="9">
        <f t="shared" si="14"/>
        <v>73.800000000000011</v>
      </c>
      <c r="M9" s="9">
        <f t="shared" ref="M9:N9" si="15">M5-M8</f>
        <v>72.360199999999992</v>
      </c>
      <c r="N9" s="9">
        <f t="shared" si="15"/>
        <v>75.46569999999997</v>
      </c>
      <c r="P9" s="9">
        <f t="shared" ref="P9:W9" si="16">P5-P8</f>
        <v>190</v>
      </c>
      <c r="Q9" s="9">
        <f t="shared" si="16"/>
        <v>203.20000000000005</v>
      </c>
      <c r="R9" s="9">
        <f t="shared" si="16"/>
        <v>225.10000000000002</v>
      </c>
      <c r="S9" s="9">
        <f t="shared" si="16"/>
        <v>226</v>
      </c>
      <c r="T9" s="9">
        <f t="shared" si="16"/>
        <v>268.59999999999991</v>
      </c>
      <c r="U9" s="9">
        <f t="shared" si="16"/>
        <v>287.19999999999993</v>
      </c>
      <c r="V9" s="9">
        <f t="shared" si="16"/>
        <v>295.2258999999998</v>
      </c>
      <c r="W9" s="9">
        <f t="shared" si="16"/>
        <v>335.65882800000009</v>
      </c>
      <c r="X9" s="9">
        <f t="shared" ref="X9:AF9" si="17">X5-X8</f>
        <v>370.0594547180001</v>
      </c>
      <c r="Y9" s="9">
        <f t="shared" si="17"/>
        <v>391.17413784558016</v>
      </c>
      <c r="Z9" s="9">
        <f t="shared" si="17"/>
        <v>403.97280273224169</v>
      </c>
      <c r="AA9" s="9">
        <f t="shared" si="17"/>
        <v>414.63935349435656</v>
      </c>
      <c r="AB9" s="9">
        <f t="shared" si="17"/>
        <v>422.93214056424358</v>
      </c>
      <c r="AC9" s="9">
        <f t="shared" si="17"/>
        <v>431.39078337552837</v>
      </c>
      <c r="AD9" s="9">
        <f t="shared" si="17"/>
        <v>440.0185990430391</v>
      </c>
      <c r="AE9" s="9">
        <f t="shared" si="17"/>
        <v>448.81897102389985</v>
      </c>
      <c r="AF9" s="9">
        <f t="shared" si="17"/>
        <v>457.79535044437785</v>
      </c>
    </row>
    <row r="10" spans="2:32" x14ac:dyDescent="0.3">
      <c r="B10" s="1" t="s">
        <v>19</v>
      </c>
      <c r="E10" s="6">
        <v>50.9</v>
      </c>
      <c r="G10" s="6">
        <v>54.4</v>
      </c>
      <c r="H10" s="6">
        <v>54.5</v>
      </c>
      <c r="I10" s="6">
        <v>52.6</v>
      </c>
      <c r="J10" s="6">
        <f t="shared" ref="J10:J13" si="18">U10-I10-H10-G10</f>
        <v>52.500000000000007</v>
      </c>
      <c r="K10" s="6">
        <v>57</v>
      </c>
      <c r="L10" s="6">
        <v>59.9</v>
      </c>
      <c r="M10" s="6">
        <f>I10*1.08</f>
        <v>56.808000000000007</v>
      </c>
      <c r="N10" s="6">
        <f>J10*1.08</f>
        <v>56.70000000000001</v>
      </c>
      <c r="P10" s="6">
        <v>130.80000000000001</v>
      </c>
      <c r="Q10" s="6">
        <v>144.5</v>
      </c>
      <c r="R10" s="6">
        <v>160.19999999999999</v>
      </c>
      <c r="S10" s="6">
        <v>182.8</v>
      </c>
      <c r="T10" s="6">
        <v>197.8</v>
      </c>
      <c r="U10" s="6">
        <v>214</v>
      </c>
      <c r="V10" s="6">
        <f t="shared" ref="V10:V13" si="19">SUM(K10:N10)</f>
        <v>230.40800000000004</v>
      </c>
      <c r="W10" s="6">
        <f>V10*1.04</f>
        <v>239.62432000000004</v>
      </c>
      <c r="X10" s="6">
        <f>W10*1.03</f>
        <v>246.81304960000006</v>
      </c>
      <c r="Y10" s="6">
        <f>X10*1.02</f>
        <v>251.74931059200006</v>
      </c>
      <c r="Z10" s="6">
        <f>Y10*1.02</f>
        <v>256.78429680384005</v>
      </c>
      <c r="AA10" s="6">
        <f>Z10*1.01</f>
        <v>259.35213977187846</v>
      </c>
      <c r="AB10" s="6">
        <f t="shared" ref="AB10:AF10" si="20">AA10*1.01</f>
        <v>261.94566116959726</v>
      </c>
      <c r="AC10" s="6">
        <f t="shared" si="20"/>
        <v>264.56511778129322</v>
      </c>
      <c r="AD10" s="6">
        <f t="shared" si="20"/>
        <v>267.21076895910613</v>
      </c>
      <c r="AE10" s="6">
        <f t="shared" si="20"/>
        <v>269.88287664869722</v>
      </c>
      <c r="AF10" s="6">
        <f t="shared" si="20"/>
        <v>272.58170541518422</v>
      </c>
    </row>
    <row r="11" spans="2:32" x14ac:dyDescent="0.3">
      <c r="B11" s="1" t="s">
        <v>41</v>
      </c>
      <c r="E11" s="6">
        <v>0</v>
      </c>
      <c r="G11" s="6"/>
      <c r="H11" s="6"/>
      <c r="I11" s="6">
        <v>0.2</v>
      </c>
      <c r="J11" s="6">
        <f t="shared" si="18"/>
        <v>0.49999999999999994</v>
      </c>
      <c r="K11" s="6"/>
      <c r="L11" s="6"/>
      <c r="M11" s="6">
        <v>0</v>
      </c>
      <c r="N11" s="6">
        <v>0</v>
      </c>
      <c r="P11" s="6">
        <v>2.2999999999999998</v>
      </c>
      <c r="Q11" s="6">
        <v>1.7</v>
      </c>
      <c r="R11" s="6">
        <v>1.8</v>
      </c>
      <c r="S11" s="6">
        <v>0.7</v>
      </c>
      <c r="T11" s="6">
        <v>0.4</v>
      </c>
      <c r="U11" s="6">
        <v>0.7</v>
      </c>
      <c r="V11" s="6">
        <f t="shared" si="19"/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</row>
    <row r="12" spans="2:32" x14ac:dyDescent="0.3">
      <c r="B12" s="1" t="s">
        <v>20</v>
      </c>
      <c r="E12" s="6">
        <v>10.3</v>
      </c>
      <c r="G12" s="6">
        <v>9.6</v>
      </c>
      <c r="H12" s="6">
        <v>10.199999999999999</v>
      </c>
      <c r="I12" s="6">
        <v>9.9</v>
      </c>
      <c r="J12" s="6">
        <f t="shared" si="18"/>
        <v>10.6</v>
      </c>
      <c r="K12" s="6">
        <v>10</v>
      </c>
      <c r="L12" s="6">
        <v>10.199999999999999</v>
      </c>
      <c r="M12" s="6">
        <v>10.5</v>
      </c>
      <c r="N12" s="6">
        <v>11</v>
      </c>
      <c r="P12" s="6">
        <v>18</v>
      </c>
      <c r="Q12" s="6">
        <v>27</v>
      </c>
      <c r="R12" s="6">
        <v>35.200000000000003</v>
      </c>
      <c r="S12" s="6">
        <v>38.6</v>
      </c>
      <c r="T12" s="6">
        <v>38.4</v>
      </c>
      <c r="U12" s="6">
        <v>40.299999999999997</v>
      </c>
      <c r="V12" s="6">
        <f t="shared" si="19"/>
        <v>41.7</v>
      </c>
      <c r="W12" s="6">
        <f>V12*1.02</f>
        <v>42.534000000000006</v>
      </c>
      <c r="X12" s="6">
        <f t="shared" ref="X12:AF12" si="21">W12*1.02</f>
        <v>43.38468000000001</v>
      </c>
      <c r="Y12" s="6">
        <f t="shared" si="21"/>
        <v>44.252373600000013</v>
      </c>
      <c r="Z12" s="6">
        <f t="shared" si="21"/>
        <v>45.137421072000016</v>
      </c>
      <c r="AA12" s="6">
        <f t="shared" si="21"/>
        <v>46.040169493440018</v>
      </c>
      <c r="AB12" s="6">
        <f t="shared" si="21"/>
        <v>46.96097288330882</v>
      </c>
      <c r="AC12" s="6">
        <f t="shared" si="21"/>
        <v>47.900192340974996</v>
      </c>
      <c r="AD12" s="6">
        <f t="shared" si="21"/>
        <v>48.858196187794498</v>
      </c>
      <c r="AE12" s="6">
        <f t="shared" si="21"/>
        <v>49.835360111550386</v>
      </c>
      <c r="AF12" s="6">
        <f t="shared" si="21"/>
        <v>50.832067313781394</v>
      </c>
    </row>
    <row r="13" spans="2:32" x14ac:dyDescent="0.3">
      <c r="B13" s="1" t="s">
        <v>40</v>
      </c>
      <c r="E13" s="6">
        <v>0</v>
      </c>
      <c r="G13" s="6"/>
      <c r="H13" s="6"/>
      <c r="I13" s="6">
        <v>0</v>
      </c>
      <c r="J13" s="6">
        <f t="shared" si="18"/>
        <v>3.2</v>
      </c>
      <c r="K13" s="6"/>
      <c r="L13" s="6"/>
      <c r="M13" s="6">
        <v>0</v>
      </c>
      <c r="N13" s="6">
        <v>0</v>
      </c>
      <c r="P13" s="6">
        <v>0.9</v>
      </c>
      <c r="Q13" s="6">
        <v>0.7</v>
      </c>
      <c r="R13" s="6">
        <v>0</v>
      </c>
      <c r="S13" s="6">
        <v>6.8</v>
      </c>
      <c r="T13" s="6">
        <v>0.9</v>
      </c>
      <c r="U13" s="6">
        <v>3.2</v>
      </c>
      <c r="V13" s="6">
        <f t="shared" si="19"/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</row>
    <row r="14" spans="2:32" x14ac:dyDescent="0.3">
      <c r="B14" s="1" t="s">
        <v>39</v>
      </c>
      <c r="E14" s="6">
        <f>SUM(E10:E13)</f>
        <v>61.2</v>
      </c>
      <c r="G14" s="6">
        <f>SUM(G10:G12)</f>
        <v>64</v>
      </c>
      <c r="H14" s="6">
        <f>SUM(H10:H12)</f>
        <v>64.7</v>
      </c>
      <c r="I14" s="6">
        <f>SUM(I10:I13)</f>
        <v>62.7</v>
      </c>
      <c r="J14" s="6">
        <f>SUM(J10:J13)</f>
        <v>66.800000000000011</v>
      </c>
      <c r="K14" s="6">
        <f t="shared" ref="K14:L14" si="22">SUM(K10:K12)</f>
        <v>67</v>
      </c>
      <c r="L14" s="6">
        <f t="shared" si="22"/>
        <v>70.099999999999994</v>
      </c>
      <c r="M14" s="6">
        <f t="shared" ref="M14" si="23">SUM(M10:M12)</f>
        <v>67.308000000000007</v>
      </c>
      <c r="N14" s="6">
        <f t="shared" ref="N14" si="24">SUM(N10:N12)</f>
        <v>67.700000000000017</v>
      </c>
      <c r="P14" s="6">
        <f t="shared" ref="P14:W14" si="25">SUM(P10:P13)</f>
        <v>152.00000000000003</v>
      </c>
      <c r="Q14" s="6">
        <f t="shared" si="25"/>
        <v>173.89999999999998</v>
      </c>
      <c r="R14" s="6">
        <f t="shared" si="25"/>
        <v>197.2</v>
      </c>
      <c r="S14" s="6">
        <f t="shared" si="25"/>
        <v>228.9</v>
      </c>
      <c r="T14" s="6">
        <f t="shared" si="25"/>
        <v>237.50000000000003</v>
      </c>
      <c r="U14" s="6">
        <f t="shared" si="25"/>
        <v>258.2</v>
      </c>
      <c r="V14" s="6">
        <f t="shared" si="25"/>
        <v>272.10800000000006</v>
      </c>
      <c r="W14" s="6">
        <f t="shared" si="25"/>
        <v>282.15832000000006</v>
      </c>
      <c r="X14" s="6">
        <f t="shared" ref="X14:AF14" si="26">SUM(X10:X13)</f>
        <v>290.19772960000006</v>
      </c>
      <c r="Y14" s="6">
        <f t="shared" si="26"/>
        <v>296.00168419200008</v>
      </c>
      <c r="Z14" s="6">
        <f t="shared" si="26"/>
        <v>301.92171787584005</v>
      </c>
      <c r="AA14" s="6">
        <f t="shared" si="26"/>
        <v>305.39230926531849</v>
      </c>
      <c r="AB14" s="6">
        <f t="shared" si="26"/>
        <v>308.9066340529061</v>
      </c>
      <c r="AC14" s="6">
        <f t="shared" si="26"/>
        <v>312.46531012226819</v>
      </c>
      <c r="AD14" s="6">
        <f t="shared" si="26"/>
        <v>316.06896514690061</v>
      </c>
      <c r="AE14" s="6">
        <f t="shared" si="26"/>
        <v>319.71823676024758</v>
      </c>
      <c r="AF14" s="6">
        <f t="shared" si="26"/>
        <v>323.41377272896563</v>
      </c>
    </row>
    <row r="15" spans="2:32" s="2" customFormat="1" x14ac:dyDescent="0.3">
      <c r="B15" s="2" t="s">
        <v>21</v>
      </c>
      <c r="E15" s="9">
        <f>E9-E14</f>
        <v>12.200000000000031</v>
      </c>
      <c r="G15" s="9">
        <f t="shared" ref="G15:H15" si="27">G9-G14</f>
        <v>7</v>
      </c>
      <c r="H15" s="9">
        <f t="shared" si="27"/>
        <v>12.500000000000014</v>
      </c>
      <c r="I15" s="9">
        <f>I9-I14</f>
        <v>6.4999999999999858</v>
      </c>
      <c r="J15" s="9">
        <f>J9-J14</f>
        <v>2.9999999999998863</v>
      </c>
      <c r="K15" s="9">
        <f t="shared" ref="K15" si="28">K9-K14</f>
        <v>6.6000000000000227</v>
      </c>
      <c r="L15" s="9">
        <f>L9-L14</f>
        <v>3.7000000000000171</v>
      </c>
      <c r="M15" s="9">
        <f t="shared" ref="M15:N15" si="29">M9-M14</f>
        <v>5.0521999999999849</v>
      </c>
      <c r="N15" s="9">
        <f t="shared" si="29"/>
        <v>7.7656999999999528</v>
      </c>
      <c r="P15" s="9">
        <f t="shared" ref="P15:W15" si="30">P9-P14</f>
        <v>37.999999999999972</v>
      </c>
      <c r="Q15" s="9">
        <f t="shared" si="30"/>
        <v>29.300000000000068</v>
      </c>
      <c r="R15" s="9">
        <f t="shared" si="30"/>
        <v>27.900000000000034</v>
      </c>
      <c r="S15" s="9">
        <f t="shared" si="30"/>
        <v>-2.9000000000000057</v>
      </c>
      <c r="T15" s="9">
        <f t="shared" si="30"/>
        <v>31.099999999999881</v>
      </c>
      <c r="U15" s="9">
        <f t="shared" si="30"/>
        <v>28.999999999999943</v>
      </c>
      <c r="V15" s="9">
        <f t="shared" si="30"/>
        <v>23.117899999999736</v>
      </c>
      <c r="W15" s="9">
        <f t="shared" si="30"/>
        <v>53.500508000000025</v>
      </c>
      <c r="X15" s="9">
        <f t="shared" ref="X15:AF15" si="31">X9-X14</f>
        <v>79.861725118000038</v>
      </c>
      <c r="Y15" s="9">
        <f t="shared" si="31"/>
        <v>95.172453653580078</v>
      </c>
      <c r="Z15" s="9">
        <f t="shared" si="31"/>
        <v>102.05108485640164</v>
      </c>
      <c r="AA15" s="9">
        <f t="shared" si="31"/>
        <v>109.24704422903807</v>
      </c>
      <c r="AB15" s="9">
        <f t="shared" si="31"/>
        <v>114.02550651133748</v>
      </c>
      <c r="AC15" s="9">
        <f t="shared" si="31"/>
        <v>118.92547325326018</v>
      </c>
      <c r="AD15" s="9">
        <f t="shared" si="31"/>
        <v>123.94963389613849</v>
      </c>
      <c r="AE15" s="9">
        <f t="shared" si="31"/>
        <v>129.10073426365227</v>
      </c>
      <c r="AF15" s="9">
        <f t="shared" si="31"/>
        <v>134.38157771541222</v>
      </c>
    </row>
    <row r="16" spans="2:32" x14ac:dyDescent="0.3">
      <c r="B16" s="1" t="s">
        <v>22</v>
      </c>
      <c r="E16" s="6">
        <v>5.0999999999999996</v>
      </c>
      <c r="G16" s="6">
        <v>2.8</v>
      </c>
      <c r="H16" s="6">
        <v>-0.1</v>
      </c>
      <c r="I16" s="6">
        <v>0</v>
      </c>
      <c r="J16" s="6">
        <f t="shared" ref="J16:J17" si="32">U16-I16-H16-G16</f>
        <v>0.30000000000000027</v>
      </c>
      <c r="K16" s="6">
        <v>0.9</v>
      </c>
      <c r="L16" s="6">
        <v>1.2</v>
      </c>
      <c r="M16" s="6">
        <v>1</v>
      </c>
      <c r="N16" s="6">
        <v>1</v>
      </c>
      <c r="P16" s="6">
        <v>21.6</v>
      </c>
      <c r="Q16" s="6">
        <v>22.8</v>
      </c>
      <c r="R16" s="6">
        <v>23.4</v>
      </c>
      <c r="S16" s="6">
        <v>17.7</v>
      </c>
      <c r="T16" s="6">
        <v>20.5</v>
      </c>
      <c r="U16" s="6">
        <v>3</v>
      </c>
      <c r="V16" s="6">
        <f t="shared" ref="V16:V17" si="33">SUM(K16:N16)</f>
        <v>4.0999999999999996</v>
      </c>
      <c r="W16" s="6">
        <f>V16*1.03</f>
        <v>4.2229999999999999</v>
      </c>
      <c r="X16" s="6">
        <f t="shared" ref="X16:AF16" si="34">W16*1.03</f>
        <v>4.3496899999999998</v>
      </c>
      <c r="Y16" s="6">
        <f t="shared" si="34"/>
        <v>4.4801807</v>
      </c>
      <c r="Z16" s="6">
        <f t="shared" si="34"/>
        <v>4.6145861210000003</v>
      </c>
      <c r="AA16" s="6">
        <f t="shared" si="34"/>
        <v>4.7530237046300003</v>
      </c>
      <c r="AB16" s="6">
        <f t="shared" si="34"/>
        <v>4.8956144157689003</v>
      </c>
      <c r="AC16" s="6">
        <f t="shared" si="34"/>
        <v>5.0424828482419679</v>
      </c>
      <c r="AD16" s="6">
        <f t="shared" si="34"/>
        <v>5.1937573336892271</v>
      </c>
      <c r="AE16" s="6">
        <f t="shared" si="34"/>
        <v>5.349570053699904</v>
      </c>
      <c r="AF16" s="6">
        <f t="shared" si="34"/>
        <v>5.5100571553109017</v>
      </c>
    </row>
    <row r="17" spans="2:137" x14ac:dyDescent="0.3">
      <c r="B17" s="1" t="s">
        <v>23</v>
      </c>
      <c r="E17" s="6">
        <v>0.3</v>
      </c>
      <c r="G17" s="6">
        <v>0.2</v>
      </c>
      <c r="H17" s="6">
        <v>-0.1</v>
      </c>
      <c r="I17" s="6">
        <v>0.7</v>
      </c>
      <c r="J17" s="6">
        <f t="shared" si="32"/>
        <v>-1.2999999999999998</v>
      </c>
      <c r="K17" s="6">
        <v>0.3</v>
      </c>
      <c r="L17" s="6">
        <v>-2.1</v>
      </c>
      <c r="M17" s="6">
        <v>0</v>
      </c>
      <c r="N17" s="6">
        <v>0</v>
      </c>
      <c r="P17" s="6">
        <v>0.7</v>
      </c>
      <c r="Q17" s="6">
        <v>-0.3</v>
      </c>
      <c r="R17" s="6">
        <v>0.1</v>
      </c>
      <c r="S17" s="6">
        <f>13-0.6</f>
        <v>12.4</v>
      </c>
      <c r="T17" s="6">
        <v>-0.5</v>
      </c>
      <c r="U17" s="6">
        <v>-0.5</v>
      </c>
      <c r="V17" s="6">
        <f t="shared" si="33"/>
        <v>-1.8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</row>
    <row r="18" spans="2:137" s="2" customFormat="1" x14ac:dyDescent="0.3">
      <c r="B18" s="2" t="s">
        <v>24</v>
      </c>
      <c r="E18" s="9">
        <f>E15-E16-E17</f>
        <v>6.8000000000000318</v>
      </c>
      <c r="G18" s="9">
        <f t="shared" ref="G18:L18" si="35">G15-G16-G17</f>
        <v>4</v>
      </c>
      <c r="H18" s="9">
        <f t="shared" si="35"/>
        <v>12.700000000000014</v>
      </c>
      <c r="I18" s="9">
        <f t="shared" si="35"/>
        <v>5.7999999999999856</v>
      </c>
      <c r="J18" s="9">
        <f t="shared" si="35"/>
        <v>3.9999999999998859</v>
      </c>
      <c r="K18" s="9">
        <f t="shared" si="35"/>
        <v>5.4000000000000226</v>
      </c>
      <c r="L18" s="9">
        <f t="shared" si="35"/>
        <v>4.6000000000000174</v>
      </c>
      <c r="M18" s="9">
        <f t="shared" ref="M18:N18" si="36">M15-M16-M17</f>
        <v>4.0521999999999849</v>
      </c>
      <c r="N18" s="9">
        <f t="shared" si="36"/>
        <v>6.7656999999999528</v>
      </c>
      <c r="P18" s="9">
        <f t="shared" ref="P18:W18" si="37">P15-P16-P17</f>
        <v>15.699999999999971</v>
      </c>
      <c r="Q18" s="9">
        <f t="shared" si="37"/>
        <v>6.8000000000000673</v>
      </c>
      <c r="R18" s="9">
        <f t="shared" si="37"/>
        <v>4.4000000000000359</v>
      </c>
      <c r="S18" s="9">
        <f t="shared" si="37"/>
        <v>-33.000000000000007</v>
      </c>
      <c r="T18" s="9">
        <f t="shared" si="37"/>
        <v>11.099999999999881</v>
      </c>
      <c r="U18" s="9">
        <f t="shared" si="37"/>
        <v>26.499999999999943</v>
      </c>
      <c r="V18" s="9">
        <f t="shared" si="37"/>
        <v>20.817899999999735</v>
      </c>
      <c r="W18" s="9">
        <f t="shared" si="37"/>
        <v>49.277508000000026</v>
      </c>
      <c r="X18" s="9">
        <f t="shared" ref="X18:AF18" si="38">X15-X16-X17</f>
        <v>75.512035118000043</v>
      </c>
      <c r="Y18" s="9">
        <f t="shared" si="38"/>
        <v>90.692272953580073</v>
      </c>
      <c r="Z18" s="9">
        <f t="shared" si="38"/>
        <v>97.436498735401642</v>
      </c>
      <c r="AA18" s="9">
        <f t="shared" si="38"/>
        <v>104.49402052440807</v>
      </c>
      <c r="AB18" s="9">
        <f t="shared" si="38"/>
        <v>109.12989209556858</v>
      </c>
      <c r="AC18" s="9">
        <f t="shared" si="38"/>
        <v>113.88299040501821</v>
      </c>
      <c r="AD18" s="9">
        <f t="shared" si="38"/>
        <v>118.75587656244926</v>
      </c>
      <c r="AE18" s="9">
        <f t="shared" si="38"/>
        <v>123.75116420995236</v>
      </c>
      <c r="AF18" s="9">
        <f t="shared" si="38"/>
        <v>128.87152056010132</v>
      </c>
    </row>
    <row r="19" spans="2:137" x14ac:dyDescent="0.3">
      <c r="B19" s="1" t="s">
        <v>25</v>
      </c>
      <c r="E19" s="6">
        <v>3.8</v>
      </c>
      <c r="G19" s="6">
        <v>2.7</v>
      </c>
      <c r="H19" s="6">
        <v>4.8</v>
      </c>
      <c r="I19" s="6">
        <v>2.6</v>
      </c>
      <c r="J19" s="6">
        <f>U19-I19-H19-G19</f>
        <v>9.9999999999999645E-2</v>
      </c>
      <c r="K19" s="6">
        <v>0.9</v>
      </c>
      <c r="L19" s="6">
        <v>1.7</v>
      </c>
      <c r="M19" s="6">
        <f>M18*0.2</f>
        <v>0.81043999999999705</v>
      </c>
      <c r="N19" s="6">
        <f>N18*0.2</f>
        <v>1.3531399999999907</v>
      </c>
      <c r="P19" s="6">
        <v>4.8</v>
      </c>
      <c r="Q19" s="6">
        <v>-73.5</v>
      </c>
      <c r="R19" s="6">
        <v>3.9</v>
      </c>
      <c r="S19" s="6">
        <v>0.2</v>
      </c>
      <c r="T19" s="6">
        <v>8.6999999999999993</v>
      </c>
      <c r="U19" s="6">
        <v>10.199999999999999</v>
      </c>
      <c r="V19" s="6">
        <f>SUM(K19:N19)</f>
        <v>4.7635799999999877</v>
      </c>
      <c r="W19" s="6">
        <f>W18*0.2</f>
        <v>9.8555016000000055</v>
      </c>
      <c r="X19" s="6">
        <f t="shared" ref="X19:AF19" si="39">X18*0.2</f>
        <v>15.102407023600009</v>
      </c>
      <c r="Y19" s="6">
        <f t="shared" si="39"/>
        <v>18.138454590716016</v>
      </c>
      <c r="Z19" s="6">
        <f t="shared" si="39"/>
        <v>19.487299747080328</v>
      </c>
      <c r="AA19" s="6">
        <f t="shared" si="39"/>
        <v>20.898804104881616</v>
      </c>
      <c r="AB19" s="6">
        <f t="shared" si="39"/>
        <v>21.825978419113717</v>
      </c>
      <c r="AC19" s="6">
        <f t="shared" si="39"/>
        <v>22.776598081003641</v>
      </c>
      <c r="AD19" s="6">
        <f t="shared" si="39"/>
        <v>23.751175312489853</v>
      </c>
      <c r="AE19" s="6">
        <f t="shared" si="39"/>
        <v>24.750232841990474</v>
      </c>
      <c r="AF19" s="6">
        <f t="shared" si="39"/>
        <v>25.774304112020264</v>
      </c>
    </row>
    <row r="20" spans="2:137" s="2" customFormat="1" x14ac:dyDescent="0.3">
      <c r="B20" s="2" t="s">
        <v>26</v>
      </c>
      <c r="E20" s="9">
        <f>E18-E19</f>
        <v>3.000000000000032</v>
      </c>
      <c r="G20" s="9">
        <f t="shared" ref="G20:L20" si="40">G18-G19</f>
        <v>1.2999999999999998</v>
      </c>
      <c r="H20" s="9">
        <f t="shared" si="40"/>
        <v>7.9000000000000137</v>
      </c>
      <c r="I20" s="9">
        <f t="shared" si="40"/>
        <v>3.1999999999999855</v>
      </c>
      <c r="J20" s="9">
        <f t="shared" si="40"/>
        <v>3.8999999999998862</v>
      </c>
      <c r="K20" s="9">
        <f t="shared" si="40"/>
        <v>4.5000000000000222</v>
      </c>
      <c r="L20" s="9">
        <f t="shared" si="40"/>
        <v>2.9000000000000172</v>
      </c>
      <c r="M20" s="9">
        <f t="shared" ref="M20:N20" si="41">M18-M19</f>
        <v>3.2417599999999878</v>
      </c>
      <c r="N20" s="9">
        <f t="shared" si="41"/>
        <v>5.4125599999999618</v>
      </c>
      <c r="P20" s="9">
        <f t="shared" ref="P20:W20" si="42">P18-P19</f>
        <v>10.89999999999997</v>
      </c>
      <c r="Q20" s="9">
        <f t="shared" si="42"/>
        <v>80.300000000000068</v>
      </c>
      <c r="R20" s="9">
        <f t="shared" si="42"/>
        <v>0.50000000000003597</v>
      </c>
      <c r="S20" s="9">
        <f t="shared" si="42"/>
        <v>-33.20000000000001</v>
      </c>
      <c r="T20" s="9">
        <f t="shared" si="42"/>
        <v>2.3999999999998813</v>
      </c>
      <c r="U20" s="9">
        <f t="shared" si="42"/>
        <v>16.299999999999944</v>
      </c>
      <c r="V20" s="9">
        <f t="shared" si="42"/>
        <v>16.054319999999748</v>
      </c>
      <c r="W20" s="9">
        <f t="shared" si="42"/>
        <v>39.422006400000022</v>
      </c>
      <c r="X20" s="9">
        <f t="shared" ref="X20:AF20" si="43">X18-X19</f>
        <v>60.409628094400034</v>
      </c>
      <c r="Y20" s="9">
        <f t="shared" si="43"/>
        <v>72.553818362864064</v>
      </c>
      <c r="Z20" s="9">
        <f t="shared" si="43"/>
        <v>77.949198988321314</v>
      </c>
      <c r="AA20" s="9">
        <f t="shared" si="43"/>
        <v>83.595216419526452</v>
      </c>
      <c r="AB20" s="9">
        <f t="shared" si="43"/>
        <v>87.303913676454869</v>
      </c>
      <c r="AC20" s="9">
        <f t="shared" si="43"/>
        <v>91.106392324014564</v>
      </c>
      <c r="AD20" s="9">
        <f t="shared" si="43"/>
        <v>95.00470124995941</v>
      </c>
      <c r="AE20" s="9">
        <f t="shared" si="43"/>
        <v>99.000931367961897</v>
      </c>
      <c r="AF20" s="9">
        <f t="shared" si="43"/>
        <v>103.09721644808106</v>
      </c>
      <c r="AG20" s="2">
        <f>AF20*(1+$AI$26)</f>
        <v>102.06624428360024</v>
      </c>
      <c r="AH20" s="2">
        <f t="shared" ref="AH20:CS20" si="44">AG20*(1+$AI$26)</f>
        <v>101.04558184076424</v>
      </c>
      <c r="AI20" s="2">
        <f t="shared" si="44"/>
        <v>100.03512602235659</v>
      </c>
      <c r="AJ20" s="2">
        <f t="shared" si="44"/>
        <v>99.034774762133026</v>
      </c>
      <c r="AK20" s="2">
        <f t="shared" si="44"/>
        <v>98.044427014511697</v>
      </c>
      <c r="AL20" s="2">
        <f t="shared" si="44"/>
        <v>97.063982744366584</v>
      </c>
      <c r="AM20" s="2">
        <f t="shared" si="44"/>
        <v>96.093342916922921</v>
      </c>
      <c r="AN20" s="2">
        <f t="shared" si="44"/>
        <v>95.132409487753691</v>
      </c>
      <c r="AO20" s="2">
        <f t="shared" si="44"/>
        <v>94.181085392876156</v>
      </c>
      <c r="AP20" s="2">
        <f t="shared" si="44"/>
        <v>93.239274538947399</v>
      </c>
      <c r="AQ20" s="2">
        <f t="shared" si="44"/>
        <v>92.30688179355792</v>
      </c>
      <c r="AR20" s="2">
        <f t="shared" si="44"/>
        <v>91.383812975622334</v>
      </c>
      <c r="AS20" s="2">
        <f t="shared" si="44"/>
        <v>90.469974845866105</v>
      </c>
      <c r="AT20" s="2">
        <f t="shared" si="44"/>
        <v>89.565275097407437</v>
      </c>
      <c r="AU20" s="2">
        <f t="shared" si="44"/>
        <v>88.669622346433357</v>
      </c>
      <c r="AV20" s="2">
        <f t="shared" si="44"/>
        <v>87.782926122969016</v>
      </c>
      <c r="AW20" s="2">
        <f t="shared" si="44"/>
        <v>86.905096861739324</v>
      </c>
      <c r="AX20" s="2">
        <f t="shared" si="44"/>
        <v>86.036045893121923</v>
      </c>
      <c r="AY20" s="2">
        <f t="shared" si="44"/>
        <v>85.175685434190697</v>
      </c>
      <c r="AZ20" s="2">
        <f t="shared" si="44"/>
        <v>84.323928579848783</v>
      </c>
      <c r="BA20" s="2">
        <f t="shared" si="44"/>
        <v>83.480689294050293</v>
      </c>
      <c r="BB20" s="2">
        <f t="shared" si="44"/>
        <v>82.645882401109787</v>
      </c>
      <c r="BC20" s="2">
        <f t="shared" si="44"/>
        <v>81.819423577098689</v>
      </c>
      <c r="BD20" s="2">
        <f t="shared" si="44"/>
        <v>81.001229341327701</v>
      </c>
      <c r="BE20" s="2">
        <f t="shared" si="44"/>
        <v>80.191217047914421</v>
      </c>
      <c r="BF20" s="2">
        <f t="shared" si="44"/>
        <v>79.389304877435279</v>
      </c>
      <c r="BG20" s="2">
        <f t="shared" si="44"/>
        <v>78.595411828660929</v>
      </c>
      <c r="BH20" s="2">
        <f t="shared" si="44"/>
        <v>77.809457710374318</v>
      </c>
      <c r="BI20" s="2">
        <f t="shared" si="44"/>
        <v>77.031363133270574</v>
      </c>
      <c r="BJ20" s="2">
        <f t="shared" si="44"/>
        <v>76.261049501937862</v>
      </c>
      <c r="BK20" s="2">
        <f t="shared" si="44"/>
        <v>75.498439006918488</v>
      </c>
      <c r="BL20" s="2">
        <f t="shared" si="44"/>
        <v>74.743454616849306</v>
      </c>
      <c r="BM20" s="2">
        <f t="shared" si="44"/>
        <v>73.996020070680814</v>
      </c>
      <c r="BN20" s="2">
        <f t="shared" si="44"/>
        <v>73.25605986997401</v>
      </c>
      <c r="BO20" s="2">
        <f t="shared" si="44"/>
        <v>72.523499271274275</v>
      </c>
      <c r="BP20" s="2">
        <f t="shared" si="44"/>
        <v>71.798264278561533</v>
      </c>
      <c r="BQ20" s="2">
        <f t="shared" si="44"/>
        <v>71.080281635775918</v>
      </c>
      <c r="BR20" s="2">
        <f t="shared" si="44"/>
        <v>70.369478819418163</v>
      </c>
      <c r="BS20" s="2">
        <f t="shared" si="44"/>
        <v>69.665784031223978</v>
      </c>
      <c r="BT20" s="2">
        <f t="shared" si="44"/>
        <v>68.969126190911737</v>
      </c>
      <c r="BU20" s="2">
        <f t="shared" si="44"/>
        <v>68.279434929002619</v>
      </c>
      <c r="BV20" s="2">
        <f t="shared" si="44"/>
        <v>67.596640579712599</v>
      </c>
      <c r="BW20" s="2">
        <f t="shared" si="44"/>
        <v>66.920674173915472</v>
      </c>
      <c r="BX20" s="2">
        <f t="shared" si="44"/>
        <v>66.251467432176312</v>
      </c>
      <c r="BY20" s="2">
        <f t="shared" si="44"/>
        <v>65.588952757854543</v>
      </c>
      <c r="BZ20" s="2">
        <f t="shared" si="44"/>
        <v>64.933063230275991</v>
      </c>
      <c r="CA20" s="2">
        <f t="shared" si="44"/>
        <v>64.283732597973227</v>
      </c>
      <c r="CB20" s="2">
        <f t="shared" si="44"/>
        <v>63.640895271993493</v>
      </c>
      <c r="CC20" s="2">
        <f t="shared" si="44"/>
        <v>63.00448631927356</v>
      </c>
      <c r="CD20" s="2">
        <f t="shared" si="44"/>
        <v>62.374441456080824</v>
      </c>
      <c r="CE20" s="2">
        <f t="shared" si="44"/>
        <v>61.750697041520013</v>
      </c>
      <c r="CF20" s="2">
        <f t="shared" si="44"/>
        <v>61.133190071104814</v>
      </c>
      <c r="CG20" s="2">
        <f t="shared" si="44"/>
        <v>60.521858170393763</v>
      </c>
      <c r="CH20" s="2">
        <f t="shared" si="44"/>
        <v>59.916639588689826</v>
      </c>
      <c r="CI20" s="2">
        <f t="shared" si="44"/>
        <v>59.317473192802929</v>
      </c>
      <c r="CJ20" s="2">
        <f t="shared" si="44"/>
        <v>58.724298460874898</v>
      </c>
      <c r="CK20" s="2">
        <f t="shared" si="44"/>
        <v>58.137055476266148</v>
      </c>
      <c r="CL20" s="2">
        <f t="shared" si="44"/>
        <v>57.555684921503484</v>
      </c>
      <c r="CM20" s="2">
        <f t="shared" si="44"/>
        <v>56.980128072288451</v>
      </c>
      <c r="CN20" s="2">
        <f t="shared" si="44"/>
        <v>56.410326791565566</v>
      </c>
      <c r="CO20" s="2">
        <f t="shared" si="44"/>
        <v>55.846223523649911</v>
      </c>
      <c r="CP20" s="2">
        <f t="shared" si="44"/>
        <v>55.287761288413414</v>
      </c>
      <c r="CQ20" s="2">
        <f t="shared" si="44"/>
        <v>54.734883675529282</v>
      </c>
      <c r="CR20" s="2">
        <f t="shared" si="44"/>
        <v>54.187534838773992</v>
      </c>
      <c r="CS20" s="2">
        <f t="shared" si="44"/>
        <v>53.645659490386251</v>
      </c>
      <c r="CT20" s="2">
        <f t="shared" ref="CT20:EG20" si="45">CS20*(1+$AI$26)</f>
        <v>53.10920289548239</v>
      </c>
      <c r="CU20" s="2">
        <f t="shared" si="45"/>
        <v>52.578110866527567</v>
      </c>
      <c r="CV20" s="2">
        <f t="shared" si="45"/>
        <v>52.052329757862289</v>
      </c>
      <c r="CW20" s="2">
        <f t="shared" si="45"/>
        <v>51.531806460283669</v>
      </c>
      <c r="CX20" s="2">
        <f t="shared" si="45"/>
        <v>51.016488395680831</v>
      </c>
      <c r="CY20" s="2">
        <f t="shared" si="45"/>
        <v>50.50632351172402</v>
      </c>
      <c r="CZ20" s="2">
        <f t="shared" si="45"/>
        <v>50.001260276606779</v>
      </c>
      <c r="DA20" s="2">
        <f t="shared" si="45"/>
        <v>49.501247673840709</v>
      </c>
      <c r="DB20" s="2">
        <f t="shared" si="45"/>
        <v>49.006235197102299</v>
      </c>
      <c r="DC20" s="2">
        <f t="shared" si="45"/>
        <v>48.516172845131273</v>
      </c>
      <c r="DD20" s="2">
        <f t="shared" si="45"/>
        <v>48.031011116679963</v>
      </c>
      <c r="DE20" s="2">
        <f t="shared" si="45"/>
        <v>47.550701005513162</v>
      </c>
      <c r="DF20" s="2">
        <f t="shared" si="45"/>
        <v>47.075193995458029</v>
      </c>
      <c r="DG20" s="2">
        <f t="shared" si="45"/>
        <v>46.604442055503448</v>
      </c>
      <c r="DH20" s="2">
        <f t="shared" si="45"/>
        <v>46.138397634948412</v>
      </c>
      <c r="DI20" s="2">
        <f t="shared" si="45"/>
        <v>45.677013658598923</v>
      </c>
      <c r="DJ20" s="2">
        <f t="shared" si="45"/>
        <v>45.220243522012936</v>
      </c>
      <c r="DK20" s="2">
        <f t="shared" si="45"/>
        <v>44.768041086792806</v>
      </c>
      <c r="DL20" s="2">
        <f t="shared" si="45"/>
        <v>44.320360675924874</v>
      </c>
      <c r="DM20" s="2">
        <f t="shared" si="45"/>
        <v>43.877157069165627</v>
      </c>
      <c r="DN20" s="2">
        <f t="shared" si="45"/>
        <v>43.43838549847397</v>
      </c>
      <c r="DO20" s="2">
        <f t="shared" si="45"/>
        <v>43.004001643489232</v>
      </c>
      <c r="DP20" s="2">
        <f t="shared" si="45"/>
        <v>42.573961627054338</v>
      </c>
      <c r="DQ20" s="2">
        <f t="shared" si="45"/>
        <v>42.148222010783797</v>
      </c>
      <c r="DR20" s="2">
        <f t="shared" si="45"/>
        <v>41.726739790675957</v>
      </c>
      <c r="DS20" s="2">
        <f t="shared" si="45"/>
        <v>41.309472392769194</v>
      </c>
      <c r="DT20" s="2">
        <f t="shared" si="45"/>
        <v>40.896377668841502</v>
      </c>
      <c r="DU20" s="2">
        <f t="shared" si="45"/>
        <v>40.487413892153086</v>
      </c>
      <c r="DV20" s="2">
        <f t="shared" si="45"/>
        <v>40.082539753231558</v>
      </c>
      <c r="DW20" s="2">
        <f t="shared" si="45"/>
        <v>39.681714355699242</v>
      </c>
      <c r="DX20" s="2">
        <f t="shared" si="45"/>
        <v>39.284897212142248</v>
      </c>
      <c r="DY20" s="2">
        <f t="shared" si="45"/>
        <v>38.892048240020827</v>
      </c>
      <c r="DZ20" s="2">
        <f t="shared" si="45"/>
        <v>38.503127757620618</v>
      </c>
      <c r="EA20" s="2">
        <f t="shared" si="45"/>
        <v>38.118096480044414</v>
      </c>
      <c r="EB20" s="2">
        <f t="shared" si="45"/>
        <v>37.736915515243972</v>
      </c>
      <c r="EC20" s="2">
        <f t="shared" si="45"/>
        <v>37.359546360091535</v>
      </c>
      <c r="ED20" s="2">
        <f t="shared" si="45"/>
        <v>36.985950896490621</v>
      </c>
      <c r="EE20" s="2">
        <f t="shared" si="45"/>
        <v>36.616091387525714</v>
      </c>
      <c r="EF20" s="2">
        <f t="shared" si="45"/>
        <v>36.249930473650458</v>
      </c>
      <c r="EG20" s="2">
        <f t="shared" si="45"/>
        <v>35.887431168913956</v>
      </c>
    </row>
    <row r="21" spans="2:137" x14ac:dyDescent="0.3">
      <c r="B21" s="1" t="s">
        <v>2</v>
      </c>
      <c r="E21" s="6">
        <f>168.8</f>
        <v>168.8</v>
      </c>
      <c r="G21" s="6">
        <f t="shared" ref="G21:L21" si="46">168.8</f>
        <v>168.8</v>
      </c>
      <c r="H21" s="6">
        <f t="shared" si="46"/>
        <v>168.8</v>
      </c>
      <c r="I21" s="6">
        <f t="shared" si="46"/>
        <v>168.8</v>
      </c>
      <c r="J21" s="6">
        <f t="shared" si="46"/>
        <v>168.8</v>
      </c>
      <c r="K21" s="6">
        <f t="shared" si="46"/>
        <v>168.8</v>
      </c>
      <c r="L21" s="6">
        <f t="shared" si="46"/>
        <v>168.8</v>
      </c>
      <c r="M21" s="6">
        <f t="shared" ref="M21:N21" si="47">168.8</f>
        <v>168.8</v>
      </c>
      <c r="N21" s="6">
        <f t="shared" si="47"/>
        <v>168.8</v>
      </c>
      <c r="P21" s="6">
        <f t="shared" ref="P21:W21" si="48">168.8</f>
        <v>168.8</v>
      </c>
      <c r="Q21" s="6">
        <f t="shared" si="48"/>
        <v>168.8</v>
      </c>
      <c r="R21" s="6">
        <f t="shared" si="48"/>
        <v>168.8</v>
      </c>
      <c r="S21" s="6">
        <f t="shared" si="48"/>
        <v>168.8</v>
      </c>
      <c r="T21" s="6">
        <f t="shared" si="48"/>
        <v>168.8</v>
      </c>
      <c r="U21" s="6">
        <f t="shared" si="48"/>
        <v>168.8</v>
      </c>
      <c r="V21" s="6">
        <f t="shared" si="48"/>
        <v>168.8</v>
      </c>
      <c r="W21" s="6">
        <f t="shared" si="48"/>
        <v>168.8</v>
      </c>
      <c r="X21" s="6">
        <f t="shared" ref="X21:AF21" si="49">168.8</f>
        <v>168.8</v>
      </c>
      <c r="Y21" s="6">
        <f t="shared" si="49"/>
        <v>168.8</v>
      </c>
      <c r="Z21" s="6">
        <f t="shared" si="49"/>
        <v>168.8</v>
      </c>
      <c r="AA21" s="6">
        <f t="shared" si="49"/>
        <v>168.8</v>
      </c>
      <c r="AB21" s="6">
        <f t="shared" si="49"/>
        <v>168.8</v>
      </c>
      <c r="AC21" s="6">
        <f t="shared" si="49"/>
        <v>168.8</v>
      </c>
      <c r="AD21" s="6">
        <f t="shared" si="49"/>
        <v>168.8</v>
      </c>
      <c r="AE21" s="6">
        <f t="shared" si="49"/>
        <v>168.8</v>
      </c>
      <c r="AF21" s="6">
        <f t="shared" si="49"/>
        <v>168.8</v>
      </c>
    </row>
    <row r="22" spans="2:137" x14ac:dyDescent="0.3">
      <c r="B22" s="1" t="s">
        <v>27</v>
      </c>
      <c r="E22" s="8">
        <f>E20/E21</f>
        <v>1.7772511848341419E-2</v>
      </c>
      <c r="G22" s="8">
        <f t="shared" ref="G22:L22" si="50">G20/G21</f>
        <v>7.7014218009478662E-3</v>
      </c>
      <c r="H22" s="8">
        <f t="shared" si="50"/>
        <v>4.6800947867298659E-2</v>
      </c>
      <c r="I22" s="8">
        <f t="shared" si="50"/>
        <v>1.8957345971563892E-2</v>
      </c>
      <c r="J22" s="8">
        <f t="shared" si="50"/>
        <v>2.3104265402842928E-2</v>
      </c>
      <c r="K22" s="8">
        <f t="shared" si="50"/>
        <v>2.6658767772511978E-2</v>
      </c>
      <c r="L22" s="8">
        <f t="shared" si="50"/>
        <v>1.7180094786729959E-2</v>
      </c>
      <c r="M22" s="8">
        <f t="shared" ref="M22:N22" si="51">M20/M21</f>
        <v>1.9204739336492818E-2</v>
      </c>
      <c r="N22" s="8">
        <f t="shared" si="51"/>
        <v>3.2064928909952377E-2</v>
      </c>
      <c r="P22" s="8">
        <f t="shared" ref="P22:W22" si="52">P20/P21</f>
        <v>6.4573459715639631E-2</v>
      </c>
      <c r="Q22" s="8">
        <f t="shared" si="52"/>
        <v>0.475710900473934</v>
      </c>
      <c r="R22" s="8">
        <f t="shared" si="52"/>
        <v>2.9620853080570848E-3</v>
      </c>
      <c r="S22" s="8">
        <f t="shared" si="52"/>
        <v>-0.19668246445497634</v>
      </c>
      <c r="T22" s="8">
        <f t="shared" si="52"/>
        <v>1.4218009478672283E-2</v>
      </c>
      <c r="U22" s="8">
        <f t="shared" si="52"/>
        <v>9.6563981042653693E-2</v>
      </c>
      <c r="V22" s="8">
        <f t="shared" si="52"/>
        <v>9.5108530805685709E-2</v>
      </c>
      <c r="W22" s="8">
        <f t="shared" si="52"/>
        <v>0.23354269194312807</v>
      </c>
      <c r="X22" s="8">
        <f t="shared" ref="X22:AF22" si="53">X20/X21</f>
        <v>0.35787694368720396</v>
      </c>
      <c r="Y22" s="8">
        <f t="shared" si="53"/>
        <v>0.42982119883213304</v>
      </c>
      <c r="Z22" s="8">
        <f t="shared" si="53"/>
        <v>0.46178435419621627</v>
      </c>
      <c r="AA22" s="8">
        <f t="shared" si="53"/>
        <v>0.49523232476022777</v>
      </c>
      <c r="AB22" s="8">
        <f t="shared" si="53"/>
        <v>0.51720328007378469</v>
      </c>
      <c r="AC22" s="8">
        <f t="shared" si="53"/>
        <v>0.53972981234605777</v>
      </c>
      <c r="AD22" s="8">
        <f t="shared" si="53"/>
        <v>0.56282405953767423</v>
      </c>
      <c r="AE22" s="8">
        <f t="shared" si="53"/>
        <v>0.58649840857797331</v>
      </c>
      <c r="AF22" s="8">
        <f t="shared" si="53"/>
        <v>0.61076550028484033</v>
      </c>
    </row>
    <row r="24" spans="2:137" x14ac:dyDescent="0.3">
      <c r="B24" s="1" t="s">
        <v>42</v>
      </c>
      <c r="E24" s="10"/>
      <c r="F24" s="10"/>
      <c r="G24" s="10"/>
      <c r="H24" s="10"/>
      <c r="I24" s="10">
        <f t="shared" ref="I24:K26" si="54">I3/E3-1</f>
        <v>-2.4413145539906034E-2</v>
      </c>
      <c r="J24" s="10"/>
      <c r="K24" s="10">
        <f t="shared" si="54"/>
        <v>-3.8497652582159536E-2</v>
      </c>
      <c r="L24" s="10">
        <f>L3/H3-1</f>
        <v>0.26666666666666683</v>
      </c>
      <c r="M24" s="10">
        <f t="shared" ref="M24:N26" si="55">M3/I3-1</f>
        <v>8.0000000000000071E-2</v>
      </c>
      <c r="N24" s="10">
        <f t="shared" si="55"/>
        <v>8.0000000000000071E-2</v>
      </c>
      <c r="P24" s="10"/>
      <c r="Q24" s="10">
        <f t="shared" ref="Q24:T24" si="56">Q3/P3-1</f>
        <v>-8.7674247982391873E-2</v>
      </c>
      <c r="R24" s="10">
        <f t="shared" si="56"/>
        <v>-0.11781262565339756</v>
      </c>
      <c r="S24" s="10">
        <f t="shared" si="56"/>
        <v>0.48222424794895158</v>
      </c>
      <c r="T24" s="10">
        <f t="shared" si="56"/>
        <v>0.23800738007380096</v>
      </c>
      <c r="U24" s="10">
        <f>U3/T3-1</f>
        <v>5.1664182811723691E-2</v>
      </c>
      <c r="V24" s="10">
        <f t="shared" ref="V24:AF24" si="57">V3/U3-1</f>
        <v>9.7146905999055511E-2</v>
      </c>
      <c r="W24" s="10">
        <f t="shared" si="57"/>
        <v>6.0000000000000053E-2</v>
      </c>
      <c r="X24" s="10">
        <f t="shared" si="57"/>
        <v>4.0000000000000036E-2</v>
      </c>
      <c r="Y24" s="10">
        <f t="shared" si="57"/>
        <v>3.0000000000000027E-2</v>
      </c>
      <c r="Z24" s="10">
        <f t="shared" si="57"/>
        <v>2.0000000000000018E-2</v>
      </c>
      <c r="AA24" s="10">
        <f t="shared" si="57"/>
        <v>2.0000000000000018E-2</v>
      </c>
      <c r="AB24" s="10">
        <f t="shared" si="57"/>
        <v>2.0000000000000018E-2</v>
      </c>
      <c r="AC24" s="10">
        <f t="shared" si="57"/>
        <v>2.0000000000000018E-2</v>
      </c>
      <c r="AD24" s="10">
        <f t="shared" si="57"/>
        <v>2.0000000000000018E-2</v>
      </c>
      <c r="AE24" s="10">
        <f t="shared" si="57"/>
        <v>2.0000000000000018E-2</v>
      </c>
      <c r="AF24" s="10">
        <f t="shared" si="57"/>
        <v>2.0000000000000018E-2</v>
      </c>
    </row>
    <row r="25" spans="2:137" x14ac:dyDescent="0.3">
      <c r="B25" s="1" t="s">
        <v>43</v>
      </c>
      <c r="E25" s="10"/>
      <c r="F25" s="10"/>
      <c r="G25" s="10"/>
      <c r="H25" s="10"/>
      <c r="I25" s="10">
        <f t="shared" si="54"/>
        <v>2.3200475907198204E-2</v>
      </c>
      <c r="J25" s="10"/>
      <c r="K25" s="10">
        <f t="shared" si="54"/>
        <v>0.17281780902167543</v>
      </c>
      <c r="L25" s="10">
        <f t="shared" ref="L25:L26" si="58">L4/H4-1</f>
        <v>0.11880165289256195</v>
      </c>
      <c r="M25" s="10">
        <f t="shared" si="55"/>
        <v>0.12000000000000011</v>
      </c>
      <c r="N25" s="10">
        <f t="shared" si="55"/>
        <v>0.14999999999999991</v>
      </c>
      <c r="P25" s="10"/>
      <c r="Q25" s="10">
        <f t="shared" ref="Q25:T25" si="59">Q4/P4-1</f>
        <v>0.12160035963137794</v>
      </c>
      <c r="R25" s="10">
        <f t="shared" si="59"/>
        <v>0.18657314629258526</v>
      </c>
      <c r="S25" s="10">
        <f t="shared" si="59"/>
        <v>-3.2089174125992215E-2</v>
      </c>
      <c r="T25" s="10">
        <f t="shared" si="59"/>
        <v>0.10713662537079038</v>
      </c>
      <c r="U25" s="10">
        <f>U4/T4-1</f>
        <v>0.12356185973207245</v>
      </c>
      <c r="V25" s="10">
        <f t="shared" ref="V25:AF25" si="60">V4/U4-1</f>
        <v>0.13975312105484616</v>
      </c>
      <c r="W25" s="10">
        <f t="shared" si="60"/>
        <v>9.000000000000008E-2</v>
      </c>
      <c r="X25" s="10">
        <f t="shared" si="60"/>
        <v>7.0000000000000062E-2</v>
      </c>
      <c r="Y25" s="10">
        <f t="shared" si="60"/>
        <v>5.0000000000000044E-2</v>
      </c>
      <c r="Z25" s="10">
        <f t="shared" si="60"/>
        <v>4.0000000000000036E-2</v>
      </c>
      <c r="AA25" s="10">
        <f t="shared" si="60"/>
        <v>3.0000000000000027E-2</v>
      </c>
      <c r="AB25" s="10">
        <f t="shared" si="60"/>
        <v>2.0000000000000018E-2</v>
      </c>
      <c r="AC25" s="10">
        <f t="shared" si="60"/>
        <v>2.0000000000000018E-2</v>
      </c>
      <c r="AD25" s="10">
        <f t="shared" si="60"/>
        <v>2.0000000000000018E-2</v>
      </c>
      <c r="AE25" s="10">
        <f t="shared" si="60"/>
        <v>2.0000000000000018E-2</v>
      </c>
      <c r="AF25" s="10">
        <f t="shared" si="60"/>
        <v>2.0000000000000018E-2</v>
      </c>
    </row>
    <row r="26" spans="2:137" x14ac:dyDescent="0.3">
      <c r="B26" s="1" t="s">
        <v>44</v>
      </c>
      <c r="E26" s="10"/>
      <c r="F26" s="10"/>
      <c r="G26" s="10"/>
      <c r="H26" s="10"/>
      <c r="I26" s="10">
        <f t="shared" si="54"/>
        <v>4.73415877640182E-3</v>
      </c>
      <c r="J26" s="10"/>
      <c r="K26" s="10">
        <f t="shared" si="54"/>
        <v>9.1630591630591729E-2</v>
      </c>
      <c r="L26" s="10">
        <f t="shared" si="58"/>
        <v>0.17127624125291563</v>
      </c>
      <c r="M26" s="10">
        <f t="shared" si="55"/>
        <v>0.10493657122145716</v>
      </c>
      <c r="N26" s="10">
        <f t="shared" si="55"/>
        <v>0.12366654892264206</v>
      </c>
      <c r="P26" s="10"/>
      <c r="Q26" s="10">
        <f t="shared" ref="Q26:T26" si="61">Q5/P5-1</f>
        <v>4.2090592334494747E-2</v>
      </c>
      <c r="R26" s="10">
        <f t="shared" si="61"/>
        <v>8.532834024341307E-2</v>
      </c>
      <c r="S26" s="10">
        <f t="shared" si="61"/>
        <v>0.106962415280345</v>
      </c>
      <c r="T26" s="10">
        <f t="shared" si="61"/>
        <v>0.15451408215518203</v>
      </c>
      <c r="U26" s="10">
        <f>U5/T5-1</f>
        <v>9.5651335454633113E-2</v>
      </c>
      <c r="V26" s="10">
        <f t="shared" ref="V26:AF26" si="62">V5/U5-1</f>
        <v>0.12387749713983975</v>
      </c>
      <c r="W26" s="10">
        <f t="shared" si="62"/>
        <v>7.9087483614734388E-2</v>
      </c>
      <c r="X26" s="10">
        <f t="shared" si="62"/>
        <v>5.9280510112457829E-2</v>
      </c>
      <c r="Y26" s="10">
        <f t="shared" si="62"/>
        <v>4.2983747379083281E-2</v>
      </c>
      <c r="Z26" s="10">
        <f t="shared" si="62"/>
        <v>3.3071090304422901E-2</v>
      </c>
      <c r="AA26" s="10">
        <f t="shared" si="62"/>
        <v>2.6579379698155048E-2</v>
      </c>
      <c r="AB26" s="10">
        <f t="shared" si="62"/>
        <v>2.0000000000000018E-2</v>
      </c>
      <c r="AC26" s="10">
        <f t="shared" si="62"/>
        <v>2.0000000000000018E-2</v>
      </c>
      <c r="AD26" s="10">
        <f t="shared" si="62"/>
        <v>2.0000000000000018E-2</v>
      </c>
      <c r="AE26" s="10">
        <f t="shared" si="62"/>
        <v>2.0000000000000018E-2</v>
      </c>
      <c r="AF26" s="10">
        <f t="shared" si="62"/>
        <v>2.0000000000000018E-2</v>
      </c>
      <c r="AH26" s="1" t="s">
        <v>52</v>
      </c>
      <c r="AI26" s="10">
        <v>-0.01</v>
      </c>
    </row>
    <row r="27" spans="2:137" x14ac:dyDescent="0.3">
      <c r="B27" s="1" t="s">
        <v>45</v>
      </c>
      <c r="E27" s="10">
        <f t="shared" ref="E27" si="63">(E3-E6)/E6</f>
        <v>0.34810126582278483</v>
      </c>
      <c r="F27" s="10"/>
      <c r="G27" s="10">
        <f t="shared" ref="G27:K27" si="64">(G3-G6)/G3</f>
        <v>0.25633802816901408</v>
      </c>
      <c r="H27" s="10">
        <f t="shared" si="64"/>
        <v>0.27699530516431925</v>
      </c>
      <c r="I27" s="10">
        <f t="shared" si="64"/>
        <v>0.26179018286814248</v>
      </c>
      <c r="J27" s="10">
        <f t="shared" si="64"/>
        <v>0.27605633802816892</v>
      </c>
      <c r="K27" s="10">
        <f t="shared" si="64"/>
        <v>0.2607421875</v>
      </c>
      <c r="L27" s="10">
        <f>(L3-L6)/L3</f>
        <v>0.20533728687916977</v>
      </c>
      <c r="M27" s="10">
        <f t="shared" ref="M27:N27" si="65">(M3-M6)/M3</f>
        <v>0.24999999999999994</v>
      </c>
      <c r="N27" s="10">
        <f t="shared" si="65"/>
        <v>0.24999999999999994</v>
      </c>
      <c r="P27" s="10">
        <f t="shared" ref="P27:U27" si="66">(P3-P6)/P3</f>
        <v>0.2956713132795305</v>
      </c>
      <c r="Q27" s="10">
        <f t="shared" si="66"/>
        <v>0.266184157619622</v>
      </c>
      <c r="R27" s="10">
        <f t="shared" si="66"/>
        <v>0.28805834092980864</v>
      </c>
      <c r="S27" s="10">
        <f t="shared" si="66"/>
        <v>0.26506765067650673</v>
      </c>
      <c r="T27" s="10">
        <f t="shared" si="66"/>
        <v>0.24689518132141089</v>
      </c>
      <c r="U27" s="10">
        <f t="shared" si="66"/>
        <v>0.26783183750590456</v>
      </c>
      <c r="V27" s="10">
        <f t="shared" ref="V27:AF27" si="67">(V3-V6)/V3</f>
        <v>0.23939793168177856</v>
      </c>
      <c r="W27" s="10">
        <f t="shared" si="67"/>
        <v>0.25000000000000006</v>
      </c>
      <c r="X27" s="10">
        <f t="shared" si="67"/>
        <v>0.25999999999999995</v>
      </c>
      <c r="Y27" s="10">
        <f t="shared" si="67"/>
        <v>0.27</v>
      </c>
      <c r="Z27" s="10">
        <f t="shared" si="67"/>
        <v>0.27000000000000007</v>
      </c>
      <c r="AA27" s="10">
        <f t="shared" si="67"/>
        <v>0.27000000000000007</v>
      </c>
      <c r="AB27" s="10">
        <f t="shared" si="67"/>
        <v>0.27</v>
      </c>
      <c r="AC27" s="10">
        <f t="shared" si="67"/>
        <v>0.27</v>
      </c>
      <c r="AD27" s="10">
        <f t="shared" si="67"/>
        <v>0.26999999999999996</v>
      </c>
      <c r="AE27" s="10">
        <f t="shared" si="67"/>
        <v>0.27000000000000007</v>
      </c>
      <c r="AF27" s="10">
        <f t="shared" si="67"/>
        <v>0.26999999999999996</v>
      </c>
      <c r="AH27" s="1" t="s">
        <v>53</v>
      </c>
      <c r="AI27" s="10">
        <v>0.09</v>
      </c>
    </row>
    <row r="28" spans="2:137" x14ac:dyDescent="0.3">
      <c r="B28" s="1" t="s">
        <v>46</v>
      </c>
      <c r="E28" s="10">
        <f t="shared" ref="E28" si="68">(E4-E7)/E7</f>
        <v>0.3756137479541734</v>
      </c>
      <c r="F28" s="10"/>
      <c r="G28" s="10">
        <f t="shared" ref="G28:K28" si="69">(G4-G7)/G4</f>
        <v>0.25600468658465136</v>
      </c>
      <c r="H28" s="10">
        <f t="shared" si="69"/>
        <v>0.2463842975206611</v>
      </c>
      <c r="I28" s="10">
        <f t="shared" si="69"/>
        <v>0.2441860465116279</v>
      </c>
      <c r="J28" s="10">
        <f t="shared" si="69"/>
        <v>0.22876557191392938</v>
      </c>
      <c r="K28" s="10">
        <f t="shared" si="69"/>
        <v>0.23426573426573416</v>
      </c>
      <c r="L28" s="10">
        <f>(L4-L7)/L4</f>
        <v>0.21283471837488455</v>
      </c>
      <c r="M28" s="10">
        <f t="shared" ref="M28:N28" si="70">(M4-M7)/M4</f>
        <v>0.22999999999999995</v>
      </c>
      <c r="N28" s="10">
        <f t="shared" si="70"/>
        <v>0.22999999999999993</v>
      </c>
      <c r="P28" s="10">
        <f t="shared" ref="P28:U28" si="71">(P4-P7)/P4</f>
        <v>0.24589795459653851</v>
      </c>
      <c r="Q28" s="10">
        <f t="shared" si="71"/>
        <v>0.27454909819639278</v>
      </c>
      <c r="R28" s="10">
        <f t="shared" si="71"/>
        <v>0.2734335416314812</v>
      </c>
      <c r="S28" s="10">
        <f t="shared" si="71"/>
        <v>0.24393648577909616</v>
      </c>
      <c r="T28" s="10">
        <f t="shared" si="71"/>
        <v>0.26666666666666666</v>
      </c>
      <c r="U28" s="10">
        <f t="shared" si="71"/>
        <v>0.24379295833917794</v>
      </c>
      <c r="V28" s="10">
        <f t="shared" ref="V28:AF28" si="72">(V4-V7)/V4</f>
        <v>0.22647520706927726</v>
      </c>
      <c r="W28" s="10">
        <f t="shared" si="72"/>
        <v>0.23999999999999994</v>
      </c>
      <c r="X28" s="10">
        <f t="shared" si="72"/>
        <v>0.25</v>
      </c>
      <c r="Y28" s="10">
        <f t="shared" si="72"/>
        <v>0.24999999999999997</v>
      </c>
      <c r="Z28" s="10">
        <f t="shared" si="72"/>
        <v>0.25</v>
      </c>
      <c r="AA28" s="10">
        <f t="shared" si="72"/>
        <v>0.25000000000000006</v>
      </c>
      <c r="AB28" s="10">
        <f t="shared" si="72"/>
        <v>0.25</v>
      </c>
      <c r="AC28" s="10">
        <f t="shared" si="72"/>
        <v>0.25</v>
      </c>
      <c r="AD28" s="10">
        <f t="shared" si="72"/>
        <v>0.25</v>
      </c>
      <c r="AE28" s="10">
        <f t="shared" si="72"/>
        <v>0.25</v>
      </c>
      <c r="AF28" s="10">
        <f t="shared" si="72"/>
        <v>0.25</v>
      </c>
      <c r="AH28" s="1" t="s">
        <v>54</v>
      </c>
      <c r="AI28" s="6">
        <f>NPV(AI27,V20:EG20)</f>
        <v>860.98336897791683</v>
      </c>
    </row>
    <row r="29" spans="2:137" x14ac:dyDescent="0.3">
      <c r="B29" s="1" t="s">
        <v>47</v>
      </c>
      <c r="E29" s="10"/>
      <c r="F29" s="10"/>
      <c r="G29" s="10">
        <f t="shared" ref="G29:K29" si="73">G9/G5</f>
        <v>0.25613275613275616</v>
      </c>
      <c r="H29" s="10">
        <f t="shared" si="73"/>
        <v>0.25724758413862048</v>
      </c>
      <c r="I29" s="10">
        <f t="shared" si="73"/>
        <v>0.25081551286698078</v>
      </c>
      <c r="J29" s="10">
        <f t="shared" si="73"/>
        <v>0.24655598728364503</v>
      </c>
      <c r="K29" s="10">
        <f t="shared" si="73"/>
        <v>0.24322538003965638</v>
      </c>
      <c r="L29" s="10">
        <f>L9/L5</f>
        <v>0.20995732574679946</v>
      </c>
      <c r="M29" s="10">
        <f t="shared" ref="M29:N29" si="74">M9/M5</f>
        <v>0.23736173618673975</v>
      </c>
      <c r="N29" s="10">
        <f t="shared" si="74"/>
        <v>0.23723146081544114</v>
      </c>
      <c r="P29" s="10">
        <f t="shared" ref="P29:U29" si="75">P9/P5</f>
        <v>0.26480836236933797</v>
      </c>
      <c r="Q29" s="10">
        <f t="shared" si="75"/>
        <v>0.2717667513708707</v>
      </c>
      <c r="R29" s="10">
        <f t="shared" si="75"/>
        <v>0.27738755391250774</v>
      </c>
      <c r="S29" s="10">
        <f t="shared" si="75"/>
        <v>0.2515863297339419</v>
      </c>
      <c r="T29" s="10">
        <f t="shared" si="75"/>
        <v>0.25899141837816986</v>
      </c>
      <c r="U29" s="10">
        <f t="shared" si="75"/>
        <v>0.25275015400862444</v>
      </c>
      <c r="V29" s="10">
        <f t="shared" ref="V29:AF29" si="76">V9/V5</f>
        <v>0.23117585520515044</v>
      </c>
      <c r="W29" s="10">
        <f t="shared" si="76"/>
        <v>0.24357316329584747</v>
      </c>
      <c r="X29" s="10">
        <f t="shared" si="76"/>
        <v>0.25350812631045844</v>
      </c>
      <c r="Y29" s="10">
        <f t="shared" si="76"/>
        <v>0.25692890969557719</v>
      </c>
      <c r="Z29" s="10">
        <f t="shared" si="76"/>
        <v>0.25684124060368979</v>
      </c>
      <c r="AA29" s="10">
        <f t="shared" si="76"/>
        <v>0.25679739487638581</v>
      </c>
      <c r="AB29" s="10">
        <f t="shared" si="76"/>
        <v>0.25679739487638575</v>
      </c>
      <c r="AC29" s="10">
        <f t="shared" si="76"/>
        <v>0.2567973948763857</v>
      </c>
      <c r="AD29" s="10">
        <f t="shared" si="76"/>
        <v>0.25679739487638581</v>
      </c>
      <c r="AE29" s="10">
        <f t="shared" si="76"/>
        <v>0.25679739487638575</v>
      </c>
      <c r="AF29" s="10">
        <f t="shared" si="76"/>
        <v>0.25679739487638575</v>
      </c>
      <c r="AH29" s="1" t="s">
        <v>55</v>
      </c>
      <c r="AI29" s="6">
        <f>Main!D8</f>
        <v>613.79999999999995</v>
      </c>
    </row>
    <row r="30" spans="2:137" x14ac:dyDescent="0.3">
      <c r="B30" s="1" t="s">
        <v>48</v>
      </c>
      <c r="E30" s="10"/>
      <c r="F30" s="10"/>
      <c r="G30" s="10"/>
      <c r="H30" s="10"/>
      <c r="I30" s="10">
        <f t="shared" ref="I30:K30" si="77">I10/E10-1</f>
        <v>3.3398821218074692E-2</v>
      </c>
      <c r="J30" s="10"/>
      <c r="K30" s="10">
        <f t="shared" si="77"/>
        <v>4.7794117647058876E-2</v>
      </c>
      <c r="L30" s="10">
        <f>L10/H10-1</f>
        <v>9.9082568807339344E-2</v>
      </c>
      <c r="M30" s="10">
        <f t="shared" ref="M30:N30" si="78">M10/I10-1</f>
        <v>8.0000000000000071E-2</v>
      </c>
      <c r="N30" s="10">
        <f t="shared" si="78"/>
        <v>8.0000000000000071E-2</v>
      </c>
      <c r="P30" s="10"/>
      <c r="Q30" s="10">
        <f t="shared" ref="Q30:T30" si="79">Q10/P10-1</f>
        <v>0.10474006116207946</v>
      </c>
      <c r="R30" s="10">
        <f t="shared" si="79"/>
        <v>0.10865051903114176</v>
      </c>
      <c r="S30" s="10">
        <f t="shared" si="79"/>
        <v>0.14107365792759063</v>
      </c>
      <c r="T30" s="10">
        <f t="shared" si="79"/>
        <v>8.2056892778993529E-2</v>
      </c>
      <c r="U30" s="10">
        <f>U10/T10-1</f>
        <v>8.1900910010111128E-2</v>
      </c>
      <c r="V30" s="10">
        <f t="shared" ref="V30:AF30" si="80">V10/U10-1</f>
        <v>7.6672897196261802E-2</v>
      </c>
      <c r="W30" s="10">
        <f t="shared" si="80"/>
        <v>4.0000000000000036E-2</v>
      </c>
      <c r="X30" s="10">
        <f t="shared" si="80"/>
        <v>3.0000000000000027E-2</v>
      </c>
      <c r="Y30" s="10">
        <f t="shared" si="80"/>
        <v>2.0000000000000018E-2</v>
      </c>
      <c r="Z30" s="10">
        <f t="shared" si="80"/>
        <v>2.0000000000000018E-2</v>
      </c>
      <c r="AA30" s="10">
        <f t="shared" si="80"/>
        <v>1.0000000000000009E-2</v>
      </c>
      <c r="AB30" s="10">
        <f t="shared" si="80"/>
        <v>1.0000000000000009E-2</v>
      </c>
      <c r="AC30" s="10">
        <f t="shared" si="80"/>
        <v>1.0000000000000009E-2</v>
      </c>
      <c r="AD30" s="10">
        <f t="shared" si="80"/>
        <v>1.0000000000000009E-2</v>
      </c>
      <c r="AE30" s="10">
        <f t="shared" si="80"/>
        <v>1.0000000000000009E-2</v>
      </c>
      <c r="AF30" s="10">
        <f t="shared" si="80"/>
        <v>1.0000000000000009E-2</v>
      </c>
      <c r="AH30" s="1" t="s">
        <v>56</v>
      </c>
      <c r="AI30" s="6">
        <f>AI28+AI29</f>
        <v>1474.7833689779168</v>
      </c>
    </row>
    <row r="31" spans="2:137" x14ac:dyDescent="0.3">
      <c r="B31" s="1" t="s">
        <v>49</v>
      </c>
      <c r="E31" s="10"/>
      <c r="F31" s="10"/>
      <c r="G31" s="10"/>
      <c r="H31" s="10"/>
      <c r="I31" s="10">
        <f t="shared" ref="I31:K31" si="81">I12/E12-1</f>
        <v>-3.8834951456310662E-2</v>
      </c>
      <c r="J31" s="10"/>
      <c r="K31" s="10">
        <f t="shared" si="81"/>
        <v>4.1666666666666741E-2</v>
      </c>
      <c r="L31" s="10">
        <f>L12/H12-1</f>
        <v>0</v>
      </c>
      <c r="M31" s="10">
        <f t="shared" ref="M31:N31" si="82">M12/I12-1</f>
        <v>6.0606060606060552E-2</v>
      </c>
      <c r="N31" s="10">
        <f t="shared" si="82"/>
        <v>3.7735849056603765E-2</v>
      </c>
      <c r="P31" s="10"/>
      <c r="Q31" s="10">
        <f t="shared" ref="Q31:T31" si="83">Q12/P12-1</f>
        <v>0.5</v>
      </c>
      <c r="R31" s="10">
        <f t="shared" si="83"/>
        <v>0.30370370370370381</v>
      </c>
      <c r="S31" s="10">
        <f t="shared" si="83"/>
        <v>9.659090909090895E-2</v>
      </c>
      <c r="T31" s="10">
        <f t="shared" si="83"/>
        <v>-5.1813471502590858E-3</v>
      </c>
      <c r="U31" s="10">
        <f>U12/T12-1</f>
        <v>4.9479166666666741E-2</v>
      </c>
      <c r="V31" s="10">
        <f t="shared" ref="V31:AF31" si="84">V12/U12-1</f>
        <v>3.473945409429291E-2</v>
      </c>
      <c r="W31" s="10">
        <f t="shared" si="84"/>
        <v>2.0000000000000018E-2</v>
      </c>
      <c r="X31" s="10">
        <f t="shared" si="84"/>
        <v>2.0000000000000018E-2</v>
      </c>
      <c r="Y31" s="10">
        <f t="shared" si="84"/>
        <v>2.0000000000000018E-2</v>
      </c>
      <c r="Z31" s="10">
        <f t="shared" si="84"/>
        <v>2.0000000000000018E-2</v>
      </c>
      <c r="AA31" s="10">
        <f t="shared" si="84"/>
        <v>2.0000000000000018E-2</v>
      </c>
      <c r="AB31" s="10">
        <f t="shared" si="84"/>
        <v>2.0000000000000018E-2</v>
      </c>
      <c r="AC31" s="10">
        <f t="shared" si="84"/>
        <v>2.0000000000000018E-2</v>
      </c>
      <c r="AD31" s="10">
        <f t="shared" si="84"/>
        <v>2.0000000000000018E-2</v>
      </c>
      <c r="AE31" s="10">
        <f t="shared" si="84"/>
        <v>2.0000000000000018E-2</v>
      </c>
      <c r="AF31" s="10">
        <f t="shared" si="84"/>
        <v>2.0000000000000018E-2</v>
      </c>
      <c r="AH31" s="1" t="s">
        <v>57</v>
      </c>
      <c r="AI31" s="4">
        <f>AI30/AF21</f>
        <v>8.7368682996322082</v>
      </c>
    </row>
    <row r="32" spans="2:137" x14ac:dyDescent="0.3">
      <c r="B32" s="1" t="s">
        <v>50</v>
      </c>
      <c r="E32" s="10">
        <f t="shared" ref="E32:K32" si="85">E15/E5</f>
        <v>4.4428259286234631E-2</v>
      </c>
      <c r="F32" s="10"/>
      <c r="G32" s="10">
        <f t="shared" si="85"/>
        <v>2.5252525252525252E-2</v>
      </c>
      <c r="H32" s="10">
        <f t="shared" si="85"/>
        <v>4.1652782405864758E-2</v>
      </c>
      <c r="I32" s="10">
        <f t="shared" si="85"/>
        <v>2.3559260601667222E-2</v>
      </c>
      <c r="J32" s="10">
        <f t="shared" si="85"/>
        <v>1.0596962204167738E-2</v>
      </c>
      <c r="K32" s="10">
        <f t="shared" si="85"/>
        <v>2.1810971579643165E-2</v>
      </c>
      <c r="L32" s="10">
        <f>L15/L5</f>
        <v>1.0526315789473733E-2</v>
      </c>
      <c r="M32" s="10">
        <f t="shared" ref="M32:N32" si="86">M15/M5</f>
        <v>1.6572631965675096E-2</v>
      </c>
      <c r="N32" s="10">
        <f t="shared" si="86"/>
        <v>2.4411995850491822E-2</v>
      </c>
      <c r="P32" s="10">
        <f t="shared" ref="P32:T32" si="87">P15/P5</f>
        <v>5.2961672473867558E-2</v>
      </c>
      <c r="Q32" s="10">
        <f t="shared" si="87"/>
        <v>3.9186839641567564E-2</v>
      </c>
      <c r="R32" s="10">
        <f t="shared" si="87"/>
        <v>3.4380776340110948E-2</v>
      </c>
      <c r="S32" s="10">
        <f t="shared" si="87"/>
        <v>-3.2283201603028008E-3</v>
      </c>
      <c r="T32" s="10">
        <f t="shared" si="87"/>
        <v>2.9987465046764906E-2</v>
      </c>
      <c r="U32" s="10">
        <f>U15/U5</f>
        <v>2.5521429200035153E-2</v>
      </c>
      <c r="V32" s="10">
        <f t="shared" ref="V32:AF32" si="88">V15/V5</f>
        <v>1.8102410063097749E-2</v>
      </c>
      <c r="W32" s="10">
        <f t="shared" si="88"/>
        <v>3.8823015766160027E-2</v>
      </c>
      <c r="X32" s="10">
        <f t="shared" si="88"/>
        <v>5.4709036724958179E-2</v>
      </c>
      <c r="Y32" s="10">
        <f t="shared" si="88"/>
        <v>6.2510663115259602E-2</v>
      </c>
      <c r="Z32" s="10">
        <f t="shared" si="88"/>
        <v>6.4882900685875017E-2</v>
      </c>
      <c r="AA32" s="10">
        <f t="shared" si="88"/>
        <v>6.7659656806656948E-2</v>
      </c>
      <c r="AB32" s="10">
        <f t="shared" si="88"/>
        <v>6.9234400068310636E-2</v>
      </c>
      <c r="AC32" s="10">
        <f t="shared" si="88"/>
        <v>7.0793704670536403E-2</v>
      </c>
      <c r="AD32" s="10">
        <f t="shared" si="88"/>
        <v>7.2337721972740479E-2</v>
      </c>
      <c r="AE32" s="10">
        <f t="shared" si="88"/>
        <v>7.3866601850412994E-2</v>
      </c>
      <c r="AF32" s="10">
        <f t="shared" si="88"/>
        <v>7.5380492709676963E-2</v>
      </c>
      <c r="AH32" s="1" t="s">
        <v>58</v>
      </c>
      <c r="AI32" s="4">
        <f>Main!D3</f>
        <v>64.39</v>
      </c>
    </row>
    <row r="33" spans="2:35" x14ac:dyDescent="0.3">
      <c r="B33" s="1" t="s">
        <v>25</v>
      </c>
      <c r="E33" s="10">
        <f t="shared" ref="E33:K33" si="89">E19/E18</f>
        <v>0.55882352941176205</v>
      </c>
      <c r="F33" s="10"/>
      <c r="G33" s="10">
        <f t="shared" si="89"/>
        <v>0.67500000000000004</v>
      </c>
      <c r="H33" s="10">
        <f t="shared" si="89"/>
        <v>0.37795275590551142</v>
      </c>
      <c r="I33" s="10">
        <f t="shared" si="89"/>
        <v>0.44827586206896664</v>
      </c>
      <c r="J33" s="10">
        <f t="shared" si="89"/>
        <v>2.5000000000000626E-2</v>
      </c>
      <c r="K33" s="10">
        <f t="shared" si="89"/>
        <v>0.16666666666666596</v>
      </c>
      <c r="L33" s="10">
        <f>L19/L18</f>
        <v>0.36956521739130294</v>
      </c>
      <c r="M33" s="10">
        <f t="shared" ref="M33:N33" si="90">M19/M18</f>
        <v>0.2</v>
      </c>
      <c r="N33" s="10">
        <f t="shared" si="90"/>
        <v>0.2</v>
      </c>
      <c r="P33" s="10">
        <f t="shared" ref="P33:T33" si="91">P19/P18</f>
        <v>0.30573248407643366</v>
      </c>
      <c r="Q33" s="10">
        <f t="shared" si="91"/>
        <v>-10.808823529411658</v>
      </c>
      <c r="R33" s="10">
        <f t="shared" si="91"/>
        <v>0.88636363636362914</v>
      </c>
      <c r="S33" s="10">
        <f t="shared" si="91"/>
        <v>-6.0606060606060597E-3</v>
      </c>
      <c r="T33" s="10">
        <f t="shared" si="91"/>
        <v>0.7837837837837921</v>
      </c>
      <c r="U33" s="10">
        <f>U19/U18</f>
        <v>0.38490566037735929</v>
      </c>
      <c r="V33" s="10">
        <f t="shared" ref="V33:AF33" si="92">V19/V18</f>
        <v>0.22882135085671698</v>
      </c>
      <c r="W33" s="10">
        <f t="shared" si="92"/>
        <v>0.2</v>
      </c>
      <c r="X33" s="10">
        <f t="shared" si="92"/>
        <v>0.2</v>
      </c>
      <c r="Y33" s="10">
        <f t="shared" si="92"/>
        <v>0.2</v>
      </c>
      <c r="Z33" s="10">
        <f t="shared" si="92"/>
        <v>0.2</v>
      </c>
      <c r="AA33" s="10">
        <f t="shared" si="92"/>
        <v>0.2</v>
      </c>
      <c r="AB33" s="10">
        <f t="shared" si="92"/>
        <v>0.2</v>
      </c>
      <c r="AC33" s="10">
        <f t="shared" si="92"/>
        <v>0.2</v>
      </c>
      <c r="AD33" s="10">
        <f t="shared" si="92"/>
        <v>0.2</v>
      </c>
      <c r="AE33" s="10">
        <f t="shared" si="92"/>
        <v>0.2</v>
      </c>
      <c r="AF33" s="10">
        <f t="shared" si="92"/>
        <v>0.2</v>
      </c>
      <c r="AH33" s="2" t="s">
        <v>59</v>
      </c>
      <c r="AI33" s="11">
        <f>AI31/AI32-1</f>
        <v>-0.86431327380599154</v>
      </c>
    </row>
    <row r="34" spans="2:35" x14ac:dyDescent="0.3">
      <c r="B34" s="1" t="s">
        <v>51</v>
      </c>
      <c r="E34" s="10">
        <f t="shared" ref="E34:K34" si="93">E20/E5</f>
        <v>1.092498179169713E-2</v>
      </c>
      <c r="F34" s="10"/>
      <c r="G34" s="10">
        <f t="shared" si="93"/>
        <v>4.6897546897546891E-3</v>
      </c>
      <c r="H34" s="10">
        <f t="shared" si="93"/>
        <v>2.6324558480506542E-2</v>
      </c>
      <c r="I34" s="10">
        <f t="shared" si="93"/>
        <v>1.1598405219282296E-2</v>
      </c>
      <c r="J34" s="10">
        <f t="shared" si="93"/>
        <v>1.377605086541818E-2</v>
      </c>
      <c r="K34" s="10">
        <f t="shared" si="93"/>
        <v>1.4871116986120363E-2</v>
      </c>
      <c r="L34" s="10">
        <f>L20/L5</f>
        <v>8.25035561877672E-3</v>
      </c>
      <c r="M34" s="10">
        <f t="shared" ref="M34:N34" si="94">M20/M5</f>
        <v>1.0633881358823257E-2</v>
      </c>
      <c r="N34" s="10">
        <f t="shared" si="94"/>
        <v>1.701474332777958E-2</v>
      </c>
      <c r="P34" s="10">
        <f t="shared" ref="P34:T34" si="95">P20/P5</f>
        <v>1.519163763066198E-2</v>
      </c>
      <c r="Q34" s="10">
        <f t="shared" si="95"/>
        <v>0.10739601444429593</v>
      </c>
      <c r="R34" s="10">
        <f t="shared" si="95"/>
        <v>6.1614294516332225E-4</v>
      </c>
      <c r="S34" s="10">
        <f t="shared" si="95"/>
        <v>-3.6958699766225102E-2</v>
      </c>
      <c r="T34" s="10">
        <f t="shared" si="95"/>
        <v>2.3141452126119772E-3</v>
      </c>
      <c r="U34" s="10">
        <f>U20/U5</f>
        <v>1.4344803308985254E-2</v>
      </c>
      <c r="V34" s="10">
        <f t="shared" ref="V34:AF34" si="96">V20/V5</f>
        <v>1.2571292544919314E-2</v>
      </c>
      <c r="W34" s="10">
        <f t="shared" si="96"/>
        <v>2.8606853153634759E-2</v>
      </c>
      <c r="X34" s="10">
        <f t="shared" si="96"/>
        <v>4.1383435645477855E-2</v>
      </c>
      <c r="Y34" s="10">
        <f t="shared" si="96"/>
        <v>4.7654411789310056E-2</v>
      </c>
      <c r="Z34" s="10">
        <f t="shared" si="96"/>
        <v>4.9559200116484611E-2</v>
      </c>
      <c r="AA34" s="10">
        <f t="shared" si="96"/>
        <v>5.1772784275659074E-2</v>
      </c>
      <c r="AB34" s="10">
        <f t="shared" si="96"/>
        <v>5.3009491226455888E-2</v>
      </c>
      <c r="AC34" s="10">
        <f t="shared" si="96"/>
        <v>5.4233620900116963E-2</v>
      </c>
      <c r="AD34" s="10">
        <f t="shared" si="96"/>
        <v>5.5445292165053624E-2</v>
      </c>
      <c r="AE34" s="10">
        <f t="shared" si="96"/>
        <v>5.6644622680788327E-2</v>
      </c>
      <c r="AF34" s="10">
        <f t="shared" si="96"/>
        <v>5.7831728909380459E-2</v>
      </c>
      <c r="AH34" s="1" t="s">
        <v>60</v>
      </c>
      <c r="AI34" s="7" t="s">
        <v>61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2025-09-04T12:08:37Z</dcterms:created>
  <dcterms:modified xsi:type="dcterms:W3CDTF">2025-09-27T10:30:47Z</dcterms:modified>
</cp:coreProperties>
</file>