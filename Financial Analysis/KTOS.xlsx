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9D2AEECF-B7D9-40F1-A5CF-C724866CEC24}" xr6:coauthVersionLast="47" xr6:coauthVersionMax="47" xr10:uidLastSave="{00000000-0000-0000-0000-000000000000}"/>
  <bookViews>
    <workbookView xWindow="-108" yWindow="-108" windowWidth="23256" windowHeight="12576" xr2:uid="{4FA626FF-4A3D-49DE-9837-5D4007C2FA44}"/>
  </bookViews>
  <sheets>
    <sheet name="Main" sheetId="1" r:id="rId1"/>
    <sheet name="Model" sheetId="2" r:id="rId2"/>
    <sheet name="Forecast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5" i="2" l="1"/>
  <c r="AE25" i="2"/>
  <c r="AD25" i="2"/>
  <c r="AC25" i="2"/>
  <c r="AB25" i="2"/>
  <c r="AA25" i="2"/>
  <c r="Z25" i="2"/>
  <c r="S17" i="2"/>
  <c r="S13" i="2"/>
  <c r="T17" i="2"/>
  <c r="T13" i="2"/>
  <c r="U17" i="2"/>
  <c r="U13" i="2"/>
  <c r="U6" i="2"/>
  <c r="G17" i="2"/>
  <c r="G13" i="2"/>
  <c r="K17" i="2"/>
  <c r="K13" i="2"/>
  <c r="H17" i="2"/>
  <c r="H13" i="2"/>
  <c r="L17" i="2"/>
  <c r="L13" i="2"/>
  <c r="I13" i="2"/>
  <c r="I17" i="2"/>
  <c r="I18" i="2"/>
  <c r="M17" i="2"/>
  <c r="M18" i="2" s="1"/>
  <c r="M13" i="2"/>
  <c r="N40" i="2"/>
  <c r="M40" i="2"/>
  <c r="D6" i="1"/>
  <c r="D8" i="1" s="1"/>
  <c r="AI48" i="2" s="1"/>
  <c r="D4" i="1"/>
  <c r="M43" i="2"/>
  <c r="M49" i="2"/>
  <c r="AI51" i="2"/>
  <c r="AF40" i="2"/>
  <c r="AE40" i="2"/>
  <c r="AD40" i="2"/>
  <c r="AC40" i="2"/>
  <c r="AB40" i="2"/>
  <c r="AA40" i="2"/>
  <c r="Z40" i="2"/>
  <c r="Y40" i="2"/>
  <c r="X40" i="2"/>
  <c r="W40" i="2"/>
  <c r="M33" i="2"/>
  <c r="M50" i="2"/>
  <c r="V36" i="2"/>
  <c r="V35" i="2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V32" i="2"/>
  <c r="V31" i="2"/>
  <c r="V30" i="2"/>
  <c r="V40" i="2"/>
  <c r="U47" i="2"/>
  <c r="T47" i="2"/>
  <c r="S47" i="2"/>
  <c r="R47" i="2"/>
  <c r="Q47" i="2"/>
  <c r="P47" i="2"/>
  <c r="U46" i="2"/>
  <c r="T46" i="2"/>
  <c r="S46" i="2"/>
  <c r="R46" i="2"/>
  <c r="Q46" i="2"/>
  <c r="P46" i="2"/>
  <c r="K47" i="2"/>
  <c r="I47" i="2"/>
  <c r="H47" i="2"/>
  <c r="G47" i="2"/>
  <c r="K46" i="2"/>
  <c r="I46" i="2"/>
  <c r="H46" i="2"/>
  <c r="G46" i="2"/>
  <c r="L47" i="2"/>
  <c r="L46" i="2"/>
  <c r="T50" i="2"/>
  <c r="S50" i="2"/>
  <c r="R50" i="2"/>
  <c r="Q50" i="2"/>
  <c r="T49" i="2"/>
  <c r="S49" i="2"/>
  <c r="R49" i="2"/>
  <c r="Q49" i="2"/>
  <c r="T44" i="2"/>
  <c r="S44" i="2"/>
  <c r="R44" i="2"/>
  <c r="Q44" i="2"/>
  <c r="T43" i="2"/>
  <c r="S43" i="2"/>
  <c r="R43" i="2"/>
  <c r="Q43" i="2"/>
  <c r="U50" i="2"/>
  <c r="U49" i="2"/>
  <c r="U44" i="2"/>
  <c r="U43" i="2"/>
  <c r="P40" i="2"/>
  <c r="P33" i="2"/>
  <c r="P27" i="2"/>
  <c r="P24" i="2"/>
  <c r="Q40" i="2"/>
  <c r="Q33" i="2"/>
  <c r="Q27" i="2"/>
  <c r="Q24" i="2"/>
  <c r="R40" i="2"/>
  <c r="R33" i="2"/>
  <c r="R27" i="2"/>
  <c r="R24" i="2"/>
  <c r="K50" i="2"/>
  <c r="I50" i="2"/>
  <c r="K49" i="2"/>
  <c r="I49" i="2"/>
  <c r="E47" i="2"/>
  <c r="E46" i="2"/>
  <c r="K44" i="2"/>
  <c r="I44" i="2"/>
  <c r="K43" i="2"/>
  <c r="I43" i="2"/>
  <c r="L50" i="2"/>
  <c r="L49" i="2"/>
  <c r="L44" i="2"/>
  <c r="L43" i="2"/>
  <c r="J38" i="2"/>
  <c r="J36" i="2"/>
  <c r="J35" i="2"/>
  <c r="J32" i="2"/>
  <c r="J31" i="2"/>
  <c r="N50" i="2" s="1"/>
  <c r="J30" i="2"/>
  <c r="J29" i="2"/>
  <c r="N29" i="2" s="1"/>
  <c r="J26" i="2"/>
  <c r="J25" i="2"/>
  <c r="J23" i="2"/>
  <c r="N23" i="2" s="1"/>
  <c r="J22" i="2"/>
  <c r="N22" i="2" s="1"/>
  <c r="J40" i="2"/>
  <c r="E40" i="2"/>
  <c r="E33" i="2"/>
  <c r="E27" i="2"/>
  <c r="E24" i="2"/>
  <c r="I40" i="2"/>
  <c r="I33" i="2"/>
  <c r="I27" i="2"/>
  <c r="I24" i="2"/>
  <c r="S36" i="2"/>
  <c r="S40" i="2"/>
  <c r="S33" i="2"/>
  <c r="S27" i="2"/>
  <c r="S24" i="2"/>
  <c r="T40" i="2"/>
  <c r="T33" i="2"/>
  <c r="T27" i="2"/>
  <c r="T24" i="2"/>
  <c r="U33" i="2"/>
  <c r="L33" i="2"/>
  <c r="K33" i="2"/>
  <c r="H33" i="2"/>
  <c r="G33" i="2"/>
  <c r="U40" i="2"/>
  <c r="U27" i="2"/>
  <c r="U24" i="2"/>
  <c r="U45" i="2" s="1"/>
  <c r="G40" i="2"/>
  <c r="G27" i="2"/>
  <c r="G24" i="2"/>
  <c r="K40" i="2"/>
  <c r="K27" i="2"/>
  <c r="K24" i="2"/>
  <c r="H40" i="2"/>
  <c r="H27" i="2"/>
  <c r="H24" i="2"/>
  <c r="L40" i="2"/>
  <c r="L27" i="2"/>
  <c r="L24" i="2"/>
  <c r="D5" i="1"/>
  <c r="F3" i="1"/>
  <c r="S18" i="2" l="1"/>
  <c r="T18" i="2"/>
  <c r="U18" i="2"/>
  <c r="H18" i="2"/>
  <c r="G18" i="2"/>
  <c r="K18" i="2"/>
  <c r="L18" i="2"/>
  <c r="S45" i="2"/>
  <c r="L28" i="2"/>
  <c r="L48" i="2" s="1"/>
  <c r="J27" i="2"/>
  <c r="T45" i="2"/>
  <c r="Q45" i="2"/>
  <c r="I45" i="2"/>
  <c r="K45" i="2"/>
  <c r="N49" i="2"/>
  <c r="D9" i="1"/>
  <c r="N43" i="2"/>
  <c r="M24" i="2"/>
  <c r="M45" i="2" s="1"/>
  <c r="J46" i="2"/>
  <c r="R45" i="2"/>
  <c r="M46" i="2"/>
  <c r="N26" i="2"/>
  <c r="N47" i="2" s="1"/>
  <c r="N44" i="2"/>
  <c r="J24" i="2"/>
  <c r="L45" i="2"/>
  <c r="N25" i="2"/>
  <c r="V25" i="2" s="1"/>
  <c r="J47" i="2"/>
  <c r="N24" i="2"/>
  <c r="W31" i="2"/>
  <c r="X31" i="2" s="1"/>
  <c r="V22" i="2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V23" i="2"/>
  <c r="W23" i="2" s="1"/>
  <c r="X23" i="2" s="1"/>
  <c r="Y23" i="2" s="1"/>
  <c r="Z23" i="2" s="1"/>
  <c r="AA23" i="2" s="1"/>
  <c r="M47" i="2"/>
  <c r="J33" i="2"/>
  <c r="M44" i="2"/>
  <c r="N33" i="2"/>
  <c r="V29" i="2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V50" i="2"/>
  <c r="P28" i="2"/>
  <c r="Q28" i="2"/>
  <c r="R28" i="2"/>
  <c r="E28" i="2"/>
  <c r="E34" i="2" s="1"/>
  <c r="I28" i="2"/>
  <c r="S28" i="2"/>
  <c r="T28" i="2"/>
  <c r="U28" i="2"/>
  <c r="U48" i="2" s="1"/>
  <c r="G28" i="2"/>
  <c r="G48" i="2" s="1"/>
  <c r="K28" i="2"/>
  <c r="K48" i="2" s="1"/>
  <c r="H28" i="2"/>
  <c r="H48" i="2" s="1"/>
  <c r="V63" i="2" l="1"/>
  <c r="V62" i="2"/>
  <c r="N46" i="2"/>
  <c r="L34" i="2"/>
  <c r="L37" i="2" s="1"/>
  <c r="J28" i="2"/>
  <c r="J48" i="2" s="1"/>
  <c r="W24" i="2"/>
  <c r="V44" i="2"/>
  <c r="AB23" i="2"/>
  <c r="AC23" i="2" s="1"/>
  <c r="AD23" i="2" s="1"/>
  <c r="AE23" i="2" s="1"/>
  <c r="AF23" i="2" s="1"/>
  <c r="M27" i="2"/>
  <c r="M28" i="2" s="1"/>
  <c r="M48" i="2" s="1"/>
  <c r="V46" i="2"/>
  <c r="V24" i="2"/>
  <c r="V45" i="2" s="1"/>
  <c r="P34" i="2"/>
  <c r="P48" i="2"/>
  <c r="W25" i="2"/>
  <c r="S34" i="2"/>
  <c r="S48" i="2"/>
  <c r="Y31" i="2"/>
  <c r="X50" i="2"/>
  <c r="V43" i="2"/>
  <c r="E37" i="2"/>
  <c r="E51" i="2"/>
  <c r="V26" i="2"/>
  <c r="T34" i="2"/>
  <c r="T48" i="2"/>
  <c r="W43" i="2"/>
  <c r="I34" i="2"/>
  <c r="I48" i="2"/>
  <c r="N45" i="2"/>
  <c r="W44" i="2"/>
  <c r="W50" i="2"/>
  <c r="N27" i="2"/>
  <c r="N28" i="2" s="1"/>
  <c r="R34" i="2"/>
  <c r="R48" i="2"/>
  <c r="Q34" i="2"/>
  <c r="Q48" i="2"/>
  <c r="V49" i="2"/>
  <c r="V33" i="2"/>
  <c r="W49" i="2"/>
  <c r="H34" i="2"/>
  <c r="K34" i="2"/>
  <c r="G34" i="2"/>
  <c r="U34" i="2"/>
  <c r="L51" i="2" l="1"/>
  <c r="J34" i="2"/>
  <c r="J37" i="2" s="1"/>
  <c r="X24" i="2"/>
  <c r="M34" i="2"/>
  <c r="M51" i="2" s="1"/>
  <c r="N48" i="2"/>
  <c r="N34" i="2"/>
  <c r="N37" i="2" s="1"/>
  <c r="S37" i="2"/>
  <c r="S51" i="2"/>
  <c r="K37" i="2"/>
  <c r="K51" i="2"/>
  <c r="W26" i="2"/>
  <c r="W47" i="2" s="1"/>
  <c r="V27" i="2"/>
  <c r="V28" i="2" s="1"/>
  <c r="V34" i="2" s="1"/>
  <c r="V47" i="2"/>
  <c r="X43" i="2"/>
  <c r="X25" i="2"/>
  <c r="X46" i="2" s="1"/>
  <c r="R37" i="2"/>
  <c r="R51" i="2"/>
  <c r="P37" i="2"/>
  <c r="P51" i="2"/>
  <c r="H37" i="2"/>
  <c r="H51" i="2"/>
  <c r="E39" i="2"/>
  <c r="E52" i="2"/>
  <c r="W45" i="2"/>
  <c r="I37" i="2"/>
  <c r="I51" i="2"/>
  <c r="Y50" i="2"/>
  <c r="Z31" i="2"/>
  <c r="U37" i="2"/>
  <c r="U51" i="2"/>
  <c r="G37" i="2"/>
  <c r="G51" i="2"/>
  <c r="T37" i="2"/>
  <c r="T51" i="2"/>
  <c r="Q37" i="2"/>
  <c r="Q51" i="2"/>
  <c r="W46" i="2"/>
  <c r="W33" i="2"/>
  <c r="L39" i="2"/>
  <c r="L52" i="2"/>
  <c r="J51" i="2" l="1"/>
  <c r="Y24" i="2"/>
  <c r="W27" i="2"/>
  <c r="W28" i="2" s="1"/>
  <c r="W48" i="2" s="1"/>
  <c r="M37" i="2"/>
  <c r="M39" i="2" s="1"/>
  <c r="N51" i="2"/>
  <c r="X45" i="2"/>
  <c r="V48" i="2"/>
  <c r="E41" i="2"/>
  <c r="E53" i="2"/>
  <c r="Y25" i="2"/>
  <c r="Y46" i="2" s="1"/>
  <c r="Y43" i="2"/>
  <c r="J52" i="2"/>
  <c r="J39" i="2"/>
  <c r="J53" i="2" s="1"/>
  <c r="P39" i="2"/>
  <c r="P52" i="2"/>
  <c r="U39" i="2"/>
  <c r="U52" i="2"/>
  <c r="Q39" i="2"/>
  <c r="Q52" i="2"/>
  <c r="I39" i="2"/>
  <c r="I52" i="2"/>
  <c r="S39" i="2"/>
  <c r="S52" i="2"/>
  <c r="H39" i="2"/>
  <c r="H52" i="2"/>
  <c r="R39" i="2"/>
  <c r="R52" i="2"/>
  <c r="K39" i="2"/>
  <c r="K52" i="2"/>
  <c r="Z50" i="2"/>
  <c r="AA31" i="2"/>
  <c r="T39" i="2"/>
  <c r="T52" i="2"/>
  <c r="G39" i="2"/>
  <c r="G52" i="2"/>
  <c r="X44" i="2"/>
  <c r="X26" i="2"/>
  <c r="X27" i="2" s="1"/>
  <c r="X28" i="2" s="1"/>
  <c r="X48" i="2" s="1"/>
  <c r="X49" i="2"/>
  <c r="X33" i="2"/>
  <c r="N38" i="2"/>
  <c r="N52" i="2" s="1"/>
  <c r="L41" i="2"/>
  <c r="L53" i="2"/>
  <c r="V37" i="2"/>
  <c r="V51" i="2"/>
  <c r="Z24" i="2" l="1"/>
  <c r="Y45" i="2"/>
  <c r="J41" i="2"/>
  <c r="W34" i="2"/>
  <c r="X34" i="2"/>
  <c r="X51" i="2" s="1"/>
  <c r="X47" i="2"/>
  <c r="Q41" i="2"/>
  <c r="Q53" i="2"/>
  <c r="T41" i="2"/>
  <c r="T53" i="2"/>
  <c r="H41" i="2"/>
  <c r="H53" i="2"/>
  <c r="U41" i="2"/>
  <c r="U53" i="2"/>
  <c r="Z46" i="2"/>
  <c r="AA24" i="2"/>
  <c r="Z43" i="2"/>
  <c r="G41" i="2"/>
  <c r="G53" i="2"/>
  <c r="S41" i="2"/>
  <c r="S53" i="2"/>
  <c r="P41" i="2"/>
  <c r="P53" i="2"/>
  <c r="R41" i="2"/>
  <c r="R53" i="2"/>
  <c r="Y44" i="2"/>
  <c r="Y26" i="2"/>
  <c r="Y27" i="2" s="1"/>
  <c r="AB31" i="2"/>
  <c r="AA50" i="2"/>
  <c r="K41" i="2"/>
  <c r="K53" i="2"/>
  <c r="I41" i="2"/>
  <c r="I53" i="2"/>
  <c r="Y49" i="2"/>
  <c r="Y33" i="2"/>
  <c r="N39" i="2"/>
  <c r="M41" i="2"/>
  <c r="M53" i="2"/>
  <c r="M52" i="2"/>
  <c r="V38" i="2"/>
  <c r="V39" i="2" s="1"/>
  <c r="Y28" i="2" l="1"/>
  <c r="Y48" i="2" s="1"/>
  <c r="Y47" i="2"/>
  <c r="X37" i="2"/>
  <c r="X38" i="2" s="1"/>
  <c r="X52" i="2" s="1"/>
  <c r="W37" i="2"/>
  <c r="W38" i="2" s="1"/>
  <c r="W52" i="2" s="1"/>
  <c r="W51" i="2"/>
  <c r="Z26" i="2"/>
  <c r="Z27" i="2" s="1"/>
  <c r="Z44" i="2"/>
  <c r="AC31" i="2"/>
  <c r="AB50" i="2"/>
  <c r="AA46" i="2"/>
  <c r="AB24" i="2"/>
  <c r="AA43" i="2"/>
  <c r="Z49" i="2"/>
  <c r="Z33" i="2"/>
  <c r="V52" i="2"/>
  <c r="N41" i="2"/>
  <c r="N53" i="2"/>
  <c r="V41" i="2"/>
  <c r="V53" i="2"/>
  <c r="Y34" i="2" l="1"/>
  <c r="Y37" i="2" s="1"/>
  <c r="Y38" i="2" s="1"/>
  <c r="Y52" i="2" s="1"/>
  <c r="W39" i="2"/>
  <c r="W41" i="2" s="1"/>
  <c r="AA45" i="2"/>
  <c r="AC24" i="2"/>
  <c r="AB46" i="2"/>
  <c r="AB43" i="2"/>
  <c r="AD31" i="2"/>
  <c r="AC50" i="2"/>
  <c r="Z45" i="2"/>
  <c r="Z28" i="2"/>
  <c r="Z48" i="2" s="1"/>
  <c r="AA26" i="2"/>
  <c r="AA27" i="2" s="1"/>
  <c r="AA28" i="2" s="1"/>
  <c r="AA48" i="2" s="1"/>
  <c r="AA44" i="2"/>
  <c r="Z47" i="2"/>
  <c r="X39" i="2"/>
  <c r="X41" i="2" s="1"/>
  <c r="AA49" i="2"/>
  <c r="AA33" i="2"/>
  <c r="Y51" i="2" l="1"/>
  <c r="AA47" i="2"/>
  <c r="W53" i="2"/>
  <c r="AD24" i="2"/>
  <c r="AC46" i="2"/>
  <c r="AC43" i="2"/>
  <c r="AD50" i="2"/>
  <c r="AE31" i="2"/>
  <c r="Z34" i="2"/>
  <c r="AA34" i="2"/>
  <c r="AA51" i="2" s="1"/>
  <c r="AB26" i="2"/>
  <c r="AB27" i="2" s="1"/>
  <c r="AB44" i="2"/>
  <c r="X53" i="2"/>
  <c r="Y39" i="2"/>
  <c r="AB49" i="2"/>
  <c r="AB33" i="2"/>
  <c r="AC45" i="2" l="1"/>
  <c r="AE24" i="2"/>
  <c r="AD46" i="2"/>
  <c r="AD43" i="2"/>
  <c r="Z37" i="2"/>
  <c r="Z51" i="2"/>
  <c r="AC26" i="2"/>
  <c r="AC27" i="2" s="1"/>
  <c r="AC28" i="2" s="1"/>
  <c r="AC48" i="2" s="1"/>
  <c r="AC44" i="2"/>
  <c r="AE50" i="2"/>
  <c r="AF31" i="2"/>
  <c r="AF50" i="2" s="1"/>
  <c r="AA37" i="2"/>
  <c r="AA38" i="2" s="1"/>
  <c r="AA52" i="2" s="1"/>
  <c r="AB28" i="2"/>
  <c r="AB48" i="2" s="1"/>
  <c r="AB45" i="2"/>
  <c r="AB47" i="2"/>
  <c r="Y41" i="2"/>
  <c r="Y53" i="2"/>
  <c r="AC33" i="2"/>
  <c r="AC49" i="2"/>
  <c r="AC34" i="2" l="1"/>
  <c r="AC37" i="2" s="1"/>
  <c r="AC47" i="2"/>
  <c r="AF24" i="2"/>
  <c r="AE46" i="2"/>
  <c r="AE43" i="2"/>
  <c r="AB34" i="2"/>
  <c r="Z38" i="2"/>
  <c r="Z52" i="2" s="1"/>
  <c r="AD26" i="2"/>
  <c r="AD27" i="2" s="1"/>
  <c r="AD44" i="2"/>
  <c r="AA39" i="2"/>
  <c r="AA53" i="2" s="1"/>
  <c r="AD49" i="2"/>
  <c r="AD33" i="2"/>
  <c r="AD47" i="2" l="1"/>
  <c r="AC51" i="2"/>
  <c r="AE45" i="2"/>
  <c r="AF45" i="2"/>
  <c r="AE26" i="2"/>
  <c r="AE27" i="2" s="1"/>
  <c r="AE28" i="2" s="1"/>
  <c r="AE48" i="2" s="1"/>
  <c r="AE44" i="2"/>
  <c r="AB51" i="2"/>
  <c r="AB37" i="2"/>
  <c r="AB38" i="2" s="1"/>
  <c r="AB52" i="2" s="1"/>
  <c r="AF46" i="2"/>
  <c r="AF43" i="2"/>
  <c r="Z39" i="2"/>
  <c r="AD45" i="2"/>
  <c r="AD28" i="2"/>
  <c r="AD48" i="2" s="1"/>
  <c r="AA41" i="2"/>
  <c r="AC38" i="2"/>
  <c r="AC52" i="2" s="1"/>
  <c r="AE33" i="2"/>
  <c r="AE49" i="2"/>
  <c r="AD34" i="2" l="1"/>
  <c r="AD37" i="2" s="1"/>
  <c r="AD38" i="2" s="1"/>
  <c r="AD52" i="2" s="1"/>
  <c r="AB39" i="2"/>
  <c r="AB53" i="2" s="1"/>
  <c r="AE47" i="2"/>
  <c r="AE34" i="2"/>
  <c r="AE51" i="2" s="1"/>
  <c r="AF26" i="2"/>
  <c r="AF27" i="2" s="1"/>
  <c r="AF28" i="2" s="1"/>
  <c r="AF48" i="2" s="1"/>
  <c r="AF44" i="2"/>
  <c r="Z41" i="2"/>
  <c r="Z53" i="2"/>
  <c r="AF33" i="2"/>
  <c r="AF49" i="2"/>
  <c r="AC39" i="2"/>
  <c r="AD51" i="2" l="1"/>
  <c r="AF47" i="2"/>
  <c r="AB41" i="2"/>
  <c r="AE37" i="2"/>
  <c r="AE38" i="2" s="1"/>
  <c r="AE52" i="2" s="1"/>
  <c r="AF34" i="2"/>
  <c r="AF37" i="2" s="1"/>
  <c r="AD39" i="2"/>
  <c r="AC53" i="2"/>
  <c r="AC41" i="2"/>
  <c r="AF51" i="2" l="1"/>
  <c r="AE39" i="2"/>
  <c r="AE41" i="2" s="1"/>
  <c r="AD41" i="2"/>
  <c r="AD53" i="2"/>
  <c r="AF38" i="2"/>
  <c r="AF52" i="2" s="1"/>
  <c r="AE53" i="2" l="1"/>
  <c r="AF39" i="2"/>
  <c r="AG39" i="2" s="1"/>
  <c r="AH39" i="2" s="1"/>
  <c r="AI39" i="2" s="1"/>
  <c r="AJ39" i="2" s="1"/>
  <c r="AK39" i="2" s="1"/>
  <c r="AL39" i="2" s="1"/>
  <c r="AM39" i="2" s="1"/>
  <c r="AN39" i="2" s="1"/>
  <c r="AO39" i="2" s="1"/>
  <c r="AP39" i="2" s="1"/>
  <c r="AQ39" i="2" s="1"/>
  <c r="AR39" i="2" s="1"/>
  <c r="AS39" i="2" s="1"/>
  <c r="AT39" i="2" s="1"/>
  <c r="AU39" i="2" s="1"/>
  <c r="AV39" i="2" s="1"/>
  <c r="AW39" i="2" s="1"/>
  <c r="AX39" i="2" s="1"/>
  <c r="AY39" i="2" s="1"/>
  <c r="AZ39" i="2" s="1"/>
  <c r="BA39" i="2" s="1"/>
  <c r="BB39" i="2" s="1"/>
  <c r="BC39" i="2" s="1"/>
  <c r="BD39" i="2" s="1"/>
  <c r="BE39" i="2" s="1"/>
  <c r="BF39" i="2" s="1"/>
  <c r="BG39" i="2" s="1"/>
  <c r="BH39" i="2" s="1"/>
  <c r="BI39" i="2" s="1"/>
  <c r="BJ39" i="2" s="1"/>
  <c r="BK39" i="2" s="1"/>
  <c r="BL39" i="2" s="1"/>
  <c r="BM39" i="2" s="1"/>
  <c r="BN39" i="2" s="1"/>
  <c r="BO39" i="2" s="1"/>
  <c r="BP39" i="2" s="1"/>
  <c r="BQ39" i="2" s="1"/>
  <c r="BR39" i="2" s="1"/>
  <c r="BS39" i="2" s="1"/>
  <c r="BT39" i="2" s="1"/>
  <c r="BU39" i="2" s="1"/>
  <c r="BV39" i="2" s="1"/>
  <c r="BW39" i="2" s="1"/>
  <c r="BX39" i="2" s="1"/>
  <c r="BY39" i="2" s="1"/>
  <c r="BZ39" i="2" s="1"/>
  <c r="CA39" i="2" s="1"/>
  <c r="CB39" i="2" s="1"/>
  <c r="CC39" i="2" s="1"/>
  <c r="CD39" i="2" s="1"/>
  <c r="CE39" i="2" s="1"/>
  <c r="CF39" i="2" s="1"/>
  <c r="CG39" i="2" s="1"/>
  <c r="CH39" i="2" s="1"/>
  <c r="CI39" i="2" s="1"/>
  <c r="CJ39" i="2" s="1"/>
  <c r="CK39" i="2" s="1"/>
  <c r="CL39" i="2" s="1"/>
  <c r="CM39" i="2" s="1"/>
  <c r="CN39" i="2" s="1"/>
  <c r="CO39" i="2" s="1"/>
  <c r="CP39" i="2" s="1"/>
  <c r="CQ39" i="2" s="1"/>
  <c r="CR39" i="2" s="1"/>
  <c r="CS39" i="2" s="1"/>
  <c r="CT39" i="2" s="1"/>
  <c r="CU39" i="2" s="1"/>
  <c r="CV39" i="2" s="1"/>
  <c r="CW39" i="2" s="1"/>
  <c r="CX39" i="2" s="1"/>
  <c r="CY39" i="2" s="1"/>
  <c r="CZ39" i="2" s="1"/>
  <c r="DA39" i="2" s="1"/>
  <c r="DB39" i="2" s="1"/>
  <c r="DC39" i="2" s="1"/>
  <c r="DD39" i="2" s="1"/>
  <c r="DE39" i="2" s="1"/>
  <c r="DF39" i="2" s="1"/>
  <c r="DG39" i="2" s="1"/>
  <c r="DH39" i="2" s="1"/>
  <c r="DI39" i="2" s="1"/>
  <c r="DJ39" i="2" s="1"/>
  <c r="DK39" i="2" s="1"/>
  <c r="DL39" i="2" s="1"/>
  <c r="DM39" i="2" s="1"/>
  <c r="DN39" i="2" s="1"/>
  <c r="DO39" i="2" s="1"/>
  <c r="DP39" i="2" s="1"/>
  <c r="DQ39" i="2" s="1"/>
  <c r="DR39" i="2" s="1"/>
  <c r="DS39" i="2" s="1"/>
  <c r="DT39" i="2" s="1"/>
  <c r="DU39" i="2" s="1"/>
  <c r="DV39" i="2" s="1"/>
  <c r="DW39" i="2" s="1"/>
  <c r="DX39" i="2" s="1"/>
  <c r="DY39" i="2" s="1"/>
  <c r="DZ39" i="2" s="1"/>
  <c r="EA39" i="2" s="1"/>
  <c r="EB39" i="2" s="1"/>
  <c r="EC39" i="2" s="1"/>
  <c r="ED39" i="2" s="1"/>
  <c r="EE39" i="2" s="1"/>
  <c r="EF39" i="2" s="1"/>
  <c r="EG39" i="2" s="1"/>
  <c r="AI47" i="2" s="1"/>
  <c r="AI49" i="2" s="1"/>
  <c r="AI50" i="2" s="1"/>
  <c r="AI52" i="2" s="1"/>
  <c r="AF41" i="2" l="1"/>
  <c r="AF5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W24" authorId="0" shapeId="0" xr:uid="{EC71DD73-0C50-4D7C-AED2-E868FC10EC5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(Q325) we are increasing our full year 2026 organic revenue growth forecast up to 15 percent to 20 percent above our expected increased annual 2025 revenue. Additionally, we are providing a preliminary 2027 organic revenue growth target of 18 percent to 23 percent above this increased 2026 estimated revenue range.</t>
        </r>
      </text>
    </comment>
  </commentList>
</comments>
</file>

<file path=xl/sharedStrings.xml><?xml version="1.0" encoding="utf-8"?>
<sst xmlns="http://schemas.openxmlformats.org/spreadsheetml/2006/main" count="125" uniqueCount="113">
  <si>
    <t>KTOS</t>
  </si>
  <si>
    <t>Price</t>
  </si>
  <si>
    <t>Shares</t>
  </si>
  <si>
    <t>MC</t>
  </si>
  <si>
    <t>Cash</t>
  </si>
  <si>
    <t>Debt</t>
  </si>
  <si>
    <t>EV</t>
  </si>
  <si>
    <t>Net Cash</t>
  </si>
  <si>
    <t>Last checked</t>
  </si>
  <si>
    <t>Today</t>
  </si>
  <si>
    <t>Earnings</t>
  </si>
  <si>
    <t>Q225</t>
  </si>
  <si>
    <t>Gross profit</t>
  </si>
  <si>
    <t>Total revenue</t>
  </si>
  <si>
    <t>Service revenue</t>
  </si>
  <si>
    <t>Product revenue</t>
  </si>
  <si>
    <t>Service cost</t>
  </si>
  <si>
    <t>Product cost</t>
  </si>
  <si>
    <t>Total cost of sales</t>
  </si>
  <si>
    <t>SG&amp;A</t>
  </si>
  <si>
    <t>R&amp;D</t>
  </si>
  <si>
    <t>Operating profit</t>
  </si>
  <si>
    <t>Interest income</t>
  </si>
  <si>
    <t>Other income</t>
  </si>
  <si>
    <t>Pretax profit</t>
  </si>
  <si>
    <t>Taxes</t>
  </si>
  <si>
    <t>Net profit</t>
  </si>
  <si>
    <t>EPS</t>
  </si>
  <si>
    <t>Q124</t>
  </si>
  <si>
    <t>Q224</t>
  </si>
  <si>
    <t>Q324</t>
  </si>
  <si>
    <t>Q424</t>
  </si>
  <si>
    <t>Q125</t>
  </si>
  <si>
    <t>Q325</t>
  </si>
  <si>
    <t>Q425</t>
  </si>
  <si>
    <t>Q123</t>
  </si>
  <si>
    <t>Q223</t>
  </si>
  <si>
    <t>Q323</t>
  </si>
  <si>
    <t>Q423</t>
  </si>
  <si>
    <t>Total opex</t>
  </si>
  <si>
    <t>Restructuring</t>
  </si>
  <si>
    <t>Investments</t>
  </si>
  <si>
    <t>Service revenue y/y</t>
  </si>
  <si>
    <t>Product revenue y/y</t>
  </si>
  <si>
    <t>Total revenue y/y</t>
  </si>
  <si>
    <t>Service Margin</t>
  </si>
  <si>
    <t>Product Margin</t>
  </si>
  <si>
    <t>Gross Margin</t>
  </si>
  <si>
    <t>SG&amp;A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</si>
  <si>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</si>
  <si>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</si>
  <si>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</si>
  <si>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</si>
  <si>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</si>
  <si>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</si>
  <si>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</si>
  <si>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</si>
  <si>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</si>
  <si>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</si>
  <si>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</si>
  <si>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</si>
  <si>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</si>
  <si>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MQ-58B</t>
  </si>
  <si>
    <t>Annual</t>
  </si>
  <si>
    <t>196M</t>
  </si>
  <si>
    <t>224M</t>
  </si>
  <si>
    <t>229M</t>
  </si>
  <si>
    <t>249M</t>
  </si>
  <si>
    <t>898M</t>
  </si>
  <si>
    <t>232M</t>
  </si>
  <si>
    <t>257M</t>
  </si>
  <si>
    <t>275M</t>
  </si>
  <si>
    <t>274M</t>
  </si>
  <si>
    <t>1.04B</t>
  </si>
  <si>
    <t>277M</t>
  </si>
  <si>
    <t>300M</t>
  </si>
  <si>
    <t>276M</t>
  </si>
  <si>
    <t>283M</t>
  </si>
  <si>
    <t>1.14B</t>
  </si>
  <si>
    <t>303M</t>
  </si>
  <si>
    <t>352M</t>
  </si>
  <si>
    <t>323M</t>
  </si>
  <si>
    <t>334M</t>
  </si>
  <si>
    <t>1.31B</t>
  </si>
  <si>
    <t>347M</t>
  </si>
  <si>
    <t>386M</t>
  </si>
  <si>
    <t>391M</t>
  </si>
  <si>
    <t>406M</t>
  </si>
  <si>
    <t>1.54B</t>
  </si>
  <si>
    <t>419M</t>
  </si>
  <si>
    <t>443M</t>
  </si>
  <si>
    <t>465M</t>
  </si>
  <si>
    <t>-</t>
  </si>
  <si>
    <t>Data as of 30/09/25</t>
  </si>
  <si>
    <t>Revenue</t>
  </si>
  <si>
    <t>Q1 (Mar)</t>
  </si>
  <si>
    <t>Q2 (Jun)</t>
  </si>
  <si>
    <t>Q3 (Sep)</t>
  </si>
  <si>
    <t>Q4 (Dec)</t>
  </si>
  <si>
    <t>A/R</t>
  </si>
  <si>
    <t>L+S/E</t>
  </si>
  <si>
    <t>EV/B</t>
  </si>
  <si>
    <t>B/EV</t>
  </si>
  <si>
    <t>Government Solutions</t>
  </si>
  <si>
    <t>U.S. Government</t>
  </si>
  <si>
    <t>International</t>
  </si>
  <si>
    <t>U.S. Commercial</t>
  </si>
  <si>
    <t>Unmanned Systems</t>
  </si>
  <si>
    <t>Backlog</t>
  </si>
  <si>
    <t>Solutions square feet</t>
  </si>
  <si>
    <t>UAS square feet</t>
  </si>
  <si>
    <t>Corporate square feet</t>
  </si>
  <si>
    <t>Total floor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</si>
</sst>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12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color theme="0"/>
      <name val="Arial Unicode MS"/>
    </font>
    <font>
      <sz val="10"/>
      <color theme="0"/>
      <name val="Arial"/>
      <family val="2"/>
    </font>
    <font>
      <sz val="10"/>
      <color theme="5" tint="0.39997558519241921"/>
      <name val="Arial"/>
      <family val="2"/>
    </font>
    <font>
      <u/>
      <sz val="10"/>
      <color theme="0"/>
      <name val="Arial"/>
      <family val="2"/>
    </font>
    <font>
      <b/>
      <u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</fills>
  <borders count="16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5" tint="0.3999755851924192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5" tint="0.3999755851924192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2" tint="-0.749992370372631"/>
      </left>
      <right style="thin">
        <color theme="5" tint="0.39997558519241921"/>
      </right>
      <top style="thin">
        <color theme="2" tint="-0.749992370372631"/>
      </top>
      <bottom style="thin">
        <color theme="5" tint="0.39997558519241921"/>
      </bottom>
      <diagonal/>
    </border>
    <border>
      <left style="thin">
        <color theme="5" tint="0.3999755851924192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5" tint="0.39997558519241921"/>
      </right>
      <top/>
      <bottom style="thin">
        <color theme="2" tint="-0.74999237037263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14" fontId="3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6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0" fontId="6" fillId="2" borderId="6" xfId="0" applyFont="1" applyFill="1" applyBorder="1" applyAlignment="1">
      <alignment horizontal="right" vertical="center"/>
    </xf>
    <xf numFmtId="0" fontId="6" fillId="2" borderId="6" xfId="0" quotePrefix="1" applyFont="1" applyFill="1" applyBorder="1" applyAlignment="1">
      <alignment horizontal="right" vertical="center"/>
    </xf>
    <xf numFmtId="0" fontId="7" fillId="2" borderId="12" xfId="0" applyFont="1" applyFill="1" applyBorder="1" applyAlignment="1">
      <alignment horizontal="right" vertical="center"/>
    </xf>
    <xf numFmtId="0" fontId="6" fillId="2" borderId="12" xfId="0" applyFont="1" applyFill="1" applyBorder="1" applyAlignment="1">
      <alignment horizontal="right" vertical="center"/>
    </xf>
    <xf numFmtId="0" fontId="6" fillId="2" borderId="13" xfId="0" quotePrefix="1" applyFont="1" applyFill="1" applyBorder="1" applyAlignment="1">
      <alignment horizontal="right"/>
    </xf>
    <xf numFmtId="0" fontId="7" fillId="2" borderId="5" xfId="0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0" fontId="6" fillId="2" borderId="15" xfId="0" applyFont="1" applyFill="1" applyBorder="1" applyAlignment="1">
      <alignment horizontal="right" vertical="center"/>
    </xf>
    <xf numFmtId="0" fontId="6" fillId="3" borderId="8" xfId="0" applyFont="1" applyFill="1" applyBorder="1" applyAlignment="1">
      <alignment horizontal="right"/>
    </xf>
    <xf numFmtId="0" fontId="6" fillId="3" borderId="9" xfId="0" applyFont="1" applyFill="1" applyBorder="1" applyAlignment="1">
      <alignment horizontal="right"/>
    </xf>
    <xf numFmtId="0" fontId="8" fillId="3" borderId="7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9" fillId="2" borderId="1" xfId="0" applyFont="1" applyFill="1" applyBorder="1"/>
    <xf numFmtId="165" fontId="2" fillId="2" borderId="1" xfId="0" applyNumberFormat="1" applyFont="1" applyFill="1" applyBorder="1"/>
    <xf numFmtId="0" fontId="1" fillId="2" borderId="1" xfId="0" applyFont="1" applyFill="1" applyBorder="1" applyAlignment="1">
      <alignment horizontal="right"/>
    </xf>
    <xf numFmtId="3" fontId="2" fillId="2" borderId="1" xfId="0" applyNumberFormat="1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22860</xdr:colOff>
      <xdr:row>0</xdr:row>
      <xdr:rowOff>7620</xdr:rowOff>
    </xdr:from>
    <xdr:to>
      <xdr:col>13</xdr:col>
      <xdr:colOff>22860</xdr:colOff>
      <xdr:row>57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B4B1400-3D6B-02B8-71F3-082D1B356E15}"/>
            </a:ext>
          </a:extLst>
        </xdr:cNvPr>
        <xdr:cNvCxnSpPr/>
      </xdr:nvCxnSpPr>
      <xdr:spPr>
        <a:xfrm>
          <a:off x="8542020" y="7620"/>
          <a:ext cx="0" cy="74142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38100</xdr:colOff>
      <xdr:row>0</xdr:row>
      <xdr:rowOff>0</xdr:rowOff>
    </xdr:from>
    <xdr:to>
      <xdr:col>21</xdr:col>
      <xdr:colOff>38100</xdr:colOff>
      <xdr:row>57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94E3B0E-1264-4179-AAEB-BADDC789BCE0}"/>
            </a:ext>
          </a:extLst>
        </xdr:cNvPr>
        <xdr:cNvCxnSpPr/>
      </xdr:nvCxnSpPr>
      <xdr:spPr>
        <a:xfrm>
          <a:off x="13434060" y="0"/>
          <a:ext cx="0" cy="70561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50F1-21AE-470A-85EA-C490AC7F5878}">
  <dimension ref="B2:G9"/>
  <sheetViews>
    <sheetView tabSelected="1" workbookViewId="0">
      <selection activeCell="F3" sqref="F3"/>
    </sheetView>
  </sheetViews>
  <sheetFormatPr defaultRowHeight="14.4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>
      <c r="E2" s="3" t="s">
        <v>8</v>
      </c>
      <c r="F2" s="3" t="s">
        <v>9</v>
      </c>
      <c r="G2" s="3" t="s">
        <v>10</v>
      </c>
    </row>
    <row r="3" spans="2:7">
      <c r="B3" s="2" t="s">
        <v>0</v>
      </c>
      <c r="C3" s="1" t="s">
        <v>1</v>
      </c>
      <c r="D3" s="4">
        <v>69.14</v>
      </c>
      <c r="E3" s="5">
        <v>45983</v>
      </c>
      <c r="F3" s="5">
        <f ca="1">TODAY()</f>
        <v>45993</v>
      </c>
      <c r="G3" s="5">
        <v>46072</v>
      </c>
    </row>
    <row r="4" spans="2:7">
      <c r="C4" s="1" t="s">
        <v>2</v>
      </c>
      <c r="D4" s="6">
        <f>168.8</f>
        <v>168.8</v>
      </c>
      <c r="E4" s="3" t="s">
        <v>33</v>
      </c>
    </row>
    <row r="5" spans="2:7">
      <c r="C5" s="1" t="s">
        <v>3</v>
      </c>
      <c r="D5" s="6">
        <f>D3*D4</f>
        <v>11670.832</v>
      </c>
    </row>
    <row r="6" spans="2:7">
      <c r="C6" s="1" t="s">
        <v>4</v>
      </c>
      <c r="D6" s="6">
        <f>565.9</f>
        <v>565.9</v>
      </c>
      <c r="E6" s="3" t="s">
        <v>33</v>
      </c>
    </row>
    <row r="7" spans="2:7">
      <c r="C7" s="1" t="s">
        <v>5</v>
      </c>
      <c r="D7" s="6">
        <v>0</v>
      </c>
      <c r="E7" s="3" t="s">
        <v>33</v>
      </c>
    </row>
    <row r="8" spans="2:7">
      <c r="C8" s="1" t="s">
        <v>7</v>
      </c>
      <c r="D8" s="6">
        <f>D6-D7</f>
        <v>565.9</v>
      </c>
    </row>
    <row r="9" spans="2:7">
      <c r="C9" s="1" t="s">
        <v>6</v>
      </c>
      <c r="D9" s="6">
        <f>D5-D8</f>
        <v>11104.932000000001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37CCB-0B59-41FB-A535-43E374CC36C0}">
  <dimension ref="B2:EG63"/>
  <sheetViews>
    <sheetView zoomScaleNormal="100" workbookViewId="0">
      <pane xSplit="2" ySplit="2" topLeftCell="T27" activePane="bottomRight" state="frozen"/>
      <selection pane="topRight" activeCell="C1" sqref="C1"/>
      <selection pane="bottomLeft" activeCell="A3" sqref="A3"/>
      <selection pane="bottomRight" activeCell="W24" sqref="W24"/>
    </sheetView>
  </sheetViews>
  <sheetFormatPr defaultRowHeight="14.4"/>
  <cols>
    <col min="1" max="1" width="8.88671875" style="1"/>
    <col min="2" max="2" width="20" style="1" bestFit="1" customWidth="1"/>
    <col min="3" max="6" width="8.88671875" style="1" customWidth="1"/>
    <col min="7" max="33" width="8.88671875" style="1"/>
    <col min="34" max="34" width="13.88671875" style="1" customWidth="1"/>
    <col min="35" max="35" width="16.44140625" style="1" bestFit="1" customWidth="1"/>
    <col min="36" max="16384" width="8.88671875" style="1"/>
  </cols>
  <sheetData>
    <row r="2" spans="2:32">
      <c r="C2" s="7" t="s">
        <v>35</v>
      </c>
      <c r="D2" s="7" t="s">
        <v>36</v>
      </c>
      <c r="E2" s="7" t="s">
        <v>37</v>
      </c>
      <c r="F2" s="7" t="s">
        <v>38</v>
      </c>
      <c r="G2" s="7" t="s">
        <v>28</v>
      </c>
      <c r="H2" s="7" t="s">
        <v>29</v>
      </c>
      <c r="I2" s="7" t="s">
        <v>30</v>
      </c>
      <c r="J2" s="7" t="s">
        <v>31</v>
      </c>
      <c r="K2" s="7" t="s">
        <v>32</v>
      </c>
      <c r="L2" s="7" t="s">
        <v>11</v>
      </c>
      <c r="M2" s="7" t="s">
        <v>33</v>
      </c>
      <c r="N2" s="7" t="s">
        <v>34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>
      <c r="B3" s="1" t="s">
        <v>109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U3" s="6">
        <v>1600000</v>
      </c>
    </row>
    <row r="4" spans="2:32">
      <c r="B4" s="1" t="s">
        <v>110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U4" s="6">
        <v>551000</v>
      </c>
    </row>
    <row r="5" spans="2:32">
      <c r="B5" s="1" t="s">
        <v>111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U5" s="6">
        <v>26000</v>
      </c>
    </row>
    <row r="6" spans="2:32" s="2" customFormat="1">
      <c r="B6" s="2" t="s">
        <v>112</v>
      </c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U6" s="9">
        <f>SUM(U3:U5)</f>
        <v>2177000</v>
      </c>
    </row>
    <row r="7" spans="2:32"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 spans="2:32">
      <c r="B8" s="1" t="s">
        <v>108</v>
      </c>
      <c r="C8" s="7"/>
      <c r="D8" s="7"/>
      <c r="E8" s="7"/>
      <c r="F8" s="37">
        <v>1243.9000000000001</v>
      </c>
      <c r="G8" s="37">
        <v>1272.8</v>
      </c>
      <c r="H8" s="37">
        <v>1302.7</v>
      </c>
      <c r="I8" s="37">
        <v>1294</v>
      </c>
      <c r="J8" s="37">
        <v>1445.1</v>
      </c>
      <c r="K8" s="37">
        <v>1508.1</v>
      </c>
      <c r="L8" s="37">
        <v>1413.6</v>
      </c>
      <c r="M8" s="37">
        <v>1480</v>
      </c>
      <c r="N8" s="7"/>
      <c r="T8" s="37">
        <v>1243.9000000000001</v>
      </c>
      <c r="U8" s="37">
        <v>1445.1</v>
      </c>
      <c r="V8" s="37">
        <v>1480</v>
      </c>
    </row>
    <row r="9" spans="2:32"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spans="2:32">
      <c r="B10" s="1" t="s">
        <v>104</v>
      </c>
      <c r="C10" s="7"/>
      <c r="D10" s="7"/>
      <c r="E10" s="7"/>
      <c r="F10" s="7"/>
      <c r="G10" s="37">
        <v>135.1</v>
      </c>
      <c r="H10" s="37">
        <v>129.19999999999999</v>
      </c>
      <c r="I10" s="37">
        <v>128.4</v>
      </c>
      <c r="J10" s="7"/>
      <c r="K10" s="37">
        <v>149.4</v>
      </c>
      <c r="L10" s="37">
        <v>186.7</v>
      </c>
      <c r="M10" s="37">
        <v>164.7</v>
      </c>
      <c r="N10" s="7"/>
      <c r="S10" s="37">
        <v>420.4</v>
      </c>
      <c r="T10" s="37">
        <v>512.5</v>
      </c>
      <c r="U10" s="37">
        <v>528</v>
      </c>
    </row>
    <row r="11" spans="2:32">
      <c r="B11" s="1" t="s">
        <v>105</v>
      </c>
      <c r="C11" s="7"/>
      <c r="D11" s="7"/>
      <c r="E11" s="7"/>
      <c r="F11" s="7"/>
      <c r="G11" s="37">
        <v>50.7</v>
      </c>
      <c r="H11" s="37">
        <v>41.3</v>
      </c>
      <c r="I11" s="37">
        <v>52.1</v>
      </c>
      <c r="J11" s="7"/>
      <c r="K11" s="37">
        <v>55.3</v>
      </c>
      <c r="L11" s="37">
        <v>52.2</v>
      </c>
      <c r="M11" s="37">
        <v>55.8</v>
      </c>
      <c r="N11" s="7"/>
      <c r="S11" s="37">
        <v>157.5</v>
      </c>
      <c r="T11" s="37">
        <v>192.8</v>
      </c>
      <c r="U11" s="37">
        <v>195.4</v>
      </c>
    </row>
    <row r="12" spans="2:32">
      <c r="B12" s="1" t="s">
        <v>106</v>
      </c>
      <c r="C12" s="7"/>
      <c r="D12" s="7"/>
      <c r="E12" s="7"/>
      <c r="F12" s="7"/>
      <c r="G12" s="37">
        <v>32</v>
      </c>
      <c r="H12" s="37">
        <v>43.8</v>
      </c>
      <c r="I12" s="37">
        <v>31.2</v>
      </c>
      <c r="J12" s="7"/>
      <c r="K12" s="37">
        <v>34.799999999999997</v>
      </c>
      <c r="L12" s="37">
        <v>39.4</v>
      </c>
      <c r="M12" s="37">
        <v>39.799999999999997</v>
      </c>
      <c r="N12" s="7"/>
      <c r="S12" s="37">
        <v>98.7</v>
      </c>
      <c r="T12" s="37">
        <v>119.6</v>
      </c>
      <c r="U12" s="37">
        <v>142.4</v>
      </c>
    </row>
    <row r="13" spans="2:32" s="2" customFormat="1">
      <c r="B13" s="2" t="s">
        <v>103</v>
      </c>
      <c r="C13" s="36"/>
      <c r="D13" s="36"/>
      <c r="E13" s="36"/>
      <c r="F13" s="36"/>
      <c r="G13" s="38">
        <f>SUM(G10:G12)</f>
        <v>217.8</v>
      </c>
      <c r="H13" s="38">
        <f>SUM(H10:H12)</f>
        <v>214.3</v>
      </c>
      <c r="I13" s="38">
        <f>SUM(I10:I12)</f>
        <v>211.7</v>
      </c>
      <c r="J13" s="36"/>
      <c r="K13" s="38">
        <f>SUM(K10:K12)</f>
        <v>239.5</v>
      </c>
      <c r="L13" s="38">
        <f>SUM(L10:L12)</f>
        <v>278.29999999999995</v>
      </c>
      <c r="M13" s="38">
        <f>SUM(M10:M12)</f>
        <v>260.3</v>
      </c>
      <c r="N13" s="36"/>
      <c r="S13" s="38">
        <f>SUM(S10:S12)</f>
        <v>676.6</v>
      </c>
      <c r="T13" s="38">
        <f>SUM(T10:T12)</f>
        <v>824.9</v>
      </c>
      <c r="U13" s="38">
        <f>SUM(U10:U12)</f>
        <v>865.8</v>
      </c>
    </row>
    <row r="14" spans="2:32">
      <c r="B14" s="1" t="s">
        <v>104</v>
      </c>
      <c r="C14" s="7"/>
      <c r="D14" s="7"/>
      <c r="E14" s="7"/>
      <c r="F14" s="7"/>
      <c r="G14" s="37">
        <v>55.8</v>
      </c>
      <c r="H14" s="37">
        <v>66.2</v>
      </c>
      <c r="I14" s="37">
        <v>55.5</v>
      </c>
      <c r="J14" s="7"/>
      <c r="K14" s="37">
        <v>56.1</v>
      </c>
      <c r="L14" s="37">
        <v>62</v>
      </c>
      <c r="M14" s="37">
        <v>66.400000000000006</v>
      </c>
      <c r="N14" s="7"/>
      <c r="S14" s="37">
        <v>203.3</v>
      </c>
      <c r="T14" s="37">
        <v>200.2</v>
      </c>
      <c r="U14" s="37">
        <v>234</v>
      </c>
    </row>
    <row r="15" spans="2:32">
      <c r="B15" s="1" t="s">
        <v>105</v>
      </c>
      <c r="C15" s="7"/>
      <c r="D15" s="7"/>
      <c r="E15" s="7"/>
      <c r="F15" s="7"/>
      <c r="G15" s="37">
        <v>2.4</v>
      </c>
      <c r="H15" s="37">
        <v>18.8</v>
      </c>
      <c r="I15" s="37">
        <v>6.5</v>
      </c>
      <c r="J15" s="7"/>
      <c r="K15" s="37">
        <v>5.8</v>
      </c>
      <c r="L15" s="37">
        <v>9</v>
      </c>
      <c r="M15" s="37">
        <v>3.9</v>
      </c>
      <c r="N15" s="7"/>
      <c r="S15" s="37">
        <v>15.6</v>
      </c>
      <c r="T15" s="37">
        <v>9.1999999999999993</v>
      </c>
      <c r="U15" s="37">
        <v>31.3</v>
      </c>
    </row>
    <row r="16" spans="2:32">
      <c r="B16" s="1" t="s">
        <v>106</v>
      </c>
      <c r="C16" s="7"/>
      <c r="D16" s="7"/>
      <c r="E16" s="7"/>
      <c r="F16" s="7"/>
      <c r="G16" s="37">
        <v>1.2</v>
      </c>
      <c r="H16" s="37">
        <v>0.8</v>
      </c>
      <c r="I16" s="37">
        <v>2.2000000000000002</v>
      </c>
      <c r="J16" s="7"/>
      <c r="K16" s="37">
        <v>1.2</v>
      </c>
      <c r="L16" s="37">
        <v>2.2000000000000002</v>
      </c>
      <c r="M16" s="37">
        <v>17</v>
      </c>
      <c r="N16" s="7"/>
      <c r="S16" s="37">
        <v>2.8</v>
      </c>
      <c r="T16" s="37">
        <v>2.8</v>
      </c>
      <c r="U16" s="37">
        <v>5.2</v>
      </c>
    </row>
    <row r="17" spans="2:32" s="2" customFormat="1">
      <c r="B17" s="2" t="s">
        <v>107</v>
      </c>
      <c r="C17" s="36"/>
      <c r="D17" s="36"/>
      <c r="E17" s="36"/>
      <c r="F17" s="36"/>
      <c r="G17" s="38">
        <f>SUM(G14:G16)</f>
        <v>59.4</v>
      </c>
      <c r="H17" s="38">
        <f>SUM(H14:H16)</f>
        <v>85.8</v>
      </c>
      <c r="I17" s="38">
        <f>SUM(I14:I16)</f>
        <v>64.2</v>
      </c>
      <c r="J17" s="36"/>
      <c r="K17" s="38">
        <f>SUM(K14:K16)</f>
        <v>63.1</v>
      </c>
      <c r="L17" s="38">
        <f>SUM(L14:L16)</f>
        <v>73.2</v>
      </c>
      <c r="M17" s="38">
        <f>SUM(M14:M16)</f>
        <v>87.300000000000011</v>
      </c>
      <c r="N17" s="36"/>
      <c r="S17" s="38">
        <f>SUM(S14:S16)</f>
        <v>221.70000000000002</v>
      </c>
      <c r="T17" s="38">
        <f>SUM(T14:T16)</f>
        <v>212.2</v>
      </c>
      <c r="U17" s="38">
        <f>SUM(U14:U16)</f>
        <v>270.5</v>
      </c>
    </row>
    <row r="18" spans="2:32" s="2" customFormat="1">
      <c r="B18" s="2" t="s">
        <v>13</v>
      </c>
      <c r="C18" s="36"/>
      <c r="D18" s="36"/>
      <c r="E18" s="36"/>
      <c r="F18" s="36"/>
      <c r="G18" s="38">
        <f>SUM(G17,G13)</f>
        <v>277.2</v>
      </c>
      <c r="H18" s="38">
        <f>SUM(H17,H13)</f>
        <v>300.10000000000002</v>
      </c>
      <c r="I18" s="38">
        <f>SUM(I17,I13)</f>
        <v>275.89999999999998</v>
      </c>
      <c r="J18" s="36"/>
      <c r="K18" s="38">
        <f>SUM(K17,K13)</f>
        <v>302.60000000000002</v>
      </c>
      <c r="L18" s="38">
        <f>SUM(L17,L13)</f>
        <v>351.49999999999994</v>
      </c>
      <c r="M18" s="38">
        <f>SUM(M17,M13)</f>
        <v>347.6</v>
      </c>
      <c r="N18" s="36"/>
      <c r="S18" s="38">
        <f>SUM(S17,S13)</f>
        <v>898.30000000000007</v>
      </c>
      <c r="T18" s="38">
        <f>SUM(T17,T13)</f>
        <v>1037.0999999999999</v>
      </c>
      <c r="U18" s="38">
        <f>SUM(U17,U13)</f>
        <v>1136.3</v>
      </c>
    </row>
    <row r="19" spans="2:32"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2:32">
      <c r="B20" s="1" t="s">
        <v>62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spans="2:32"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2:32">
      <c r="B22" s="1" t="s">
        <v>14</v>
      </c>
      <c r="E22" s="6">
        <v>106.5</v>
      </c>
      <c r="G22" s="6">
        <v>106.5</v>
      </c>
      <c r="H22" s="6">
        <v>106.5</v>
      </c>
      <c r="I22" s="6">
        <v>103.9</v>
      </c>
      <c r="J22" s="6">
        <f>U22-I22-H22-G22</f>
        <v>106.5</v>
      </c>
      <c r="K22" s="6">
        <v>102.4</v>
      </c>
      <c r="L22" s="6">
        <v>134.9</v>
      </c>
      <c r="M22" s="6">
        <v>117.4</v>
      </c>
      <c r="N22" s="6">
        <f>J22*1.12</f>
        <v>119.28000000000002</v>
      </c>
      <c r="P22" s="6">
        <v>272.60000000000002</v>
      </c>
      <c r="Q22" s="6">
        <v>248.7</v>
      </c>
      <c r="R22" s="6">
        <v>219.4</v>
      </c>
      <c r="S22" s="6">
        <v>325.2</v>
      </c>
      <c r="T22" s="6">
        <v>402.6</v>
      </c>
      <c r="U22" s="6">
        <v>423.4</v>
      </c>
      <c r="V22" s="6">
        <f>SUM(K22:N22)</f>
        <v>473.98000000000008</v>
      </c>
      <c r="W22" s="6">
        <f>V22*1.1</f>
        <v>521.37800000000016</v>
      </c>
      <c r="X22" s="6">
        <f>W22*1.09</f>
        <v>568.3020200000002</v>
      </c>
      <c r="Y22" s="6">
        <f>X22*1.06</f>
        <v>602.40014120000023</v>
      </c>
      <c r="Z22" s="6">
        <f>Y22*1.05</f>
        <v>632.52014826000027</v>
      </c>
      <c r="AA22" s="6">
        <f t="shared" ref="AA22:AF22" si="0">Z22*1.05</f>
        <v>664.14615567300029</v>
      </c>
      <c r="AB22" s="6">
        <f t="shared" si="0"/>
        <v>697.35346345665039</v>
      </c>
      <c r="AC22" s="6">
        <f t="shared" si="0"/>
        <v>732.22113662948288</v>
      </c>
      <c r="AD22" s="6">
        <f t="shared" si="0"/>
        <v>768.83219346095711</v>
      </c>
      <c r="AE22" s="6">
        <f t="shared" si="0"/>
        <v>807.27380313400499</v>
      </c>
      <c r="AF22" s="6">
        <f t="shared" si="0"/>
        <v>847.63749329070527</v>
      </c>
    </row>
    <row r="23" spans="2:32">
      <c r="B23" s="1" t="s">
        <v>15</v>
      </c>
      <c r="E23" s="6">
        <v>168.1</v>
      </c>
      <c r="G23" s="6">
        <v>170.7</v>
      </c>
      <c r="H23" s="6">
        <v>193.6</v>
      </c>
      <c r="I23" s="6">
        <v>172</v>
      </c>
      <c r="J23" s="6">
        <f>U23-I23-H23-G23</f>
        <v>176.59999999999997</v>
      </c>
      <c r="K23" s="6">
        <v>200.2</v>
      </c>
      <c r="L23" s="6">
        <v>216.6</v>
      </c>
      <c r="M23" s="6">
        <v>230.2</v>
      </c>
      <c r="N23" s="6">
        <f>J23*1.17</f>
        <v>206.62199999999996</v>
      </c>
      <c r="P23" s="6">
        <v>444.9</v>
      </c>
      <c r="Q23" s="6">
        <v>499</v>
      </c>
      <c r="R23" s="6">
        <v>592.1</v>
      </c>
      <c r="S23" s="6">
        <v>573.1</v>
      </c>
      <c r="T23" s="6">
        <v>634.5</v>
      </c>
      <c r="U23" s="6">
        <v>712.9</v>
      </c>
      <c r="V23" s="6">
        <f>SUM(K23:N23)</f>
        <v>853.62199999999996</v>
      </c>
      <c r="W23" s="6">
        <f>V23*1.25</f>
        <v>1067.0274999999999</v>
      </c>
      <c r="X23" s="6">
        <f>W23*1.22</f>
        <v>1301.7735499999999</v>
      </c>
      <c r="Y23" s="6">
        <f>X23*1.14</f>
        <v>1484.0218469999998</v>
      </c>
      <c r="Z23" s="6">
        <f>Y23*1.08</f>
        <v>1602.74359476</v>
      </c>
      <c r="AA23" s="6">
        <f>Z23*1.06</f>
        <v>1698.9082104455999</v>
      </c>
      <c r="AB23" s="6">
        <f t="shared" ref="AB23:AF23" si="1">AA23*1.05</f>
        <v>1783.85362096788</v>
      </c>
      <c r="AC23" s="6">
        <f t="shared" si="1"/>
        <v>1873.046302016274</v>
      </c>
      <c r="AD23" s="6">
        <f t="shared" si="1"/>
        <v>1966.6986171170879</v>
      </c>
      <c r="AE23" s="6">
        <f t="shared" si="1"/>
        <v>2065.0335479729424</v>
      </c>
      <c r="AF23" s="6">
        <f t="shared" si="1"/>
        <v>2168.2852253715896</v>
      </c>
    </row>
    <row r="24" spans="2:32" s="2" customFormat="1">
      <c r="B24" s="2" t="s">
        <v>13</v>
      </c>
      <c r="E24" s="9">
        <f>E22+E23</f>
        <v>274.60000000000002</v>
      </c>
      <c r="G24" s="9">
        <f t="shared" ref="G24:L24" si="2">G22+G23</f>
        <v>277.2</v>
      </c>
      <c r="H24" s="9">
        <f t="shared" si="2"/>
        <v>300.10000000000002</v>
      </c>
      <c r="I24" s="9">
        <f t="shared" si="2"/>
        <v>275.89999999999998</v>
      </c>
      <c r="J24" s="9">
        <f t="shared" si="2"/>
        <v>283.09999999999997</v>
      </c>
      <c r="K24" s="9">
        <f t="shared" si="2"/>
        <v>302.60000000000002</v>
      </c>
      <c r="L24" s="9">
        <f t="shared" si="2"/>
        <v>351.5</v>
      </c>
      <c r="M24" s="9">
        <f t="shared" ref="M24:N24" si="3">M22+M23</f>
        <v>347.6</v>
      </c>
      <c r="N24" s="9">
        <f t="shared" si="3"/>
        <v>325.90199999999999</v>
      </c>
      <c r="P24" s="9">
        <f t="shared" ref="P24:V24" si="4">P22+P23</f>
        <v>717.5</v>
      </c>
      <c r="Q24" s="9">
        <f t="shared" si="4"/>
        <v>747.7</v>
      </c>
      <c r="R24" s="9">
        <f t="shared" si="4"/>
        <v>811.5</v>
      </c>
      <c r="S24" s="9">
        <f t="shared" si="4"/>
        <v>898.3</v>
      </c>
      <c r="T24" s="9">
        <f t="shared" si="4"/>
        <v>1037.0999999999999</v>
      </c>
      <c r="U24" s="9">
        <f t="shared" si="4"/>
        <v>1136.3</v>
      </c>
      <c r="V24" s="9">
        <f t="shared" si="4"/>
        <v>1327.6020000000001</v>
      </c>
      <c r="W24" s="9">
        <f t="shared" ref="W24:AF24" si="5">W22+W23</f>
        <v>1588.4055000000001</v>
      </c>
      <c r="X24" s="9">
        <f t="shared" si="5"/>
        <v>1870.07557</v>
      </c>
      <c r="Y24" s="9">
        <f t="shared" si="5"/>
        <v>2086.4219881999998</v>
      </c>
      <c r="Z24" s="9">
        <f t="shared" si="5"/>
        <v>2235.2637430200002</v>
      </c>
      <c r="AA24" s="9">
        <f t="shared" si="5"/>
        <v>2363.0543661186002</v>
      </c>
      <c r="AB24" s="9">
        <f t="shared" si="5"/>
        <v>2481.2070844245304</v>
      </c>
      <c r="AC24" s="9">
        <f t="shared" si="5"/>
        <v>2605.267438645757</v>
      </c>
      <c r="AD24" s="9">
        <f t="shared" si="5"/>
        <v>2735.530810578045</v>
      </c>
      <c r="AE24" s="9">
        <f t="shared" si="5"/>
        <v>2872.3073511069474</v>
      </c>
      <c r="AF24" s="9">
        <f t="shared" si="5"/>
        <v>3015.9227186622948</v>
      </c>
    </row>
    <row r="25" spans="2:32">
      <c r="B25" s="1" t="s">
        <v>16</v>
      </c>
      <c r="E25" s="6">
        <v>79</v>
      </c>
      <c r="G25" s="6">
        <v>79.2</v>
      </c>
      <c r="H25" s="6">
        <v>77</v>
      </c>
      <c r="I25" s="6">
        <v>76.7</v>
      </c>
      <c r="J25" s="6">
        <f t="shared" ref="J25:J26" si="6">U25-I25-H25-G25</f>
        <v>77.100000000000009</v>
      </c>
      <c r="K25" s="6">
        <v>75.7</v>
      </c>
      <c r="L25" s="6">
        <v>107.2</v>
      </c>
      <c r="M25" s="6">
        <v>91.2</v>
      </c>
      <c r="N25" s="6">
        <f>N22*0.75</f>
        <v>89.460000000000008</v>
      </c>
      <c r="P25" s="6">
        <v>192</v>
      </c>
      <c r="Q25" s="6">
        <v>182.5</v>
      </c>
      <c r="R25" s="6">
        <v>156.19999999999999</v>
      </c>
      <c r="S25" s="6">
        <v>239</v>
      </c>
      <c r="T25" s="6">
        <v>303.2</v>
      </c>
      <c r="U25" s="6">
        <v>310</v>
      </c>
      <c r="V25" s="6">
        <f t="shared" ref="V25:V26" si="7">SUM(K25:N25)</f>
        <v>363.56000000000006</v>
      </c>
      <c r="W25" s="6">
        <f>W22*0.75</f>
        <v>391.03350000000012</v>
      </c>
      <c r="X25" s="6">
        <f>X22*0.74</f>
        <v>420.54349480000013</v>
      </c>
      <c r="Y25" s="6">
        <f>Y22*0.73</f>
        <v>439.75210307600014</v>
      </c>
      <c r="Z25" s="6">
        <f>Z22*0.72</f>
        <v>455.41450674720016</v>
      </c>
      <c r="AA25" s="6">
        <f>AA22*0.71</f>
        <v>471.54377052783019</v>
      </c>
      <c r="AB25" s="6">
        <f>AB22*0.7</f>
        <v>488.14742441965524</v>
      </c>
      <c r="AC25" s="6">
        <f t="shared" ref="AC25:AF25" si="8">AC22*0.7</f>
        <v>512.55479564063796</v>
      </c>
      <c r="AD25" s="6">
        <f t="shared" si="8"/>
        <v>538.18253542266996</v>
      </c>
      <c r="AE25" s="6">
        <f t="shared" si="8"/>
        <v>565.09166219380347</v>
      </c>
      <c r="AF25" s="6">
        <f t="shared" si="8"/>
        <v>593.34624530349367</v>
      </c>
    </row>
    <row r="26" spans="2:32">
      <c r="B26" s="1" t="s">
        <v>17</v>
      </c>
      <c r="E26" s="6">
        <v>122.2</v>
      </c>
      <c r="G26" s="6">
        <v>127</v>
      </c>
      <c r="H26" s="6">
        <v>145.9</v>
      </c>
      <c r="I26" s="6">
        <v>130</v>
      </c>
      <c r="J26" s="6">
        <f t="shared" si="6"/>
        <v>136.20000000000005</v>
      </c>
      <c r="K26" s="6">
        <v>153.30000000000001</v>
      </c>
      <c r="L26" s="6">
        <v>170.5</v>
      </c>
      <c r="M26" s="6">
        <v>179.3</v>
      </c>
      <c r="N26" s="6">
        <f>N23*0.77</f>
        <v>159.09893999999997</v>
      </c>
      <c r="P26" s="6">
        <v>335.5</v>
      </c>
      <c r="Q26" s="6">
        <v>362</v>
      </c>
      <c r="R26" s="6">
        <v>430.2</v>
      </c>
      <c r="S26" s="6">
        <v>433.3</v>
      </c>
      <c r="T26" s="6">
        <v>465.3</v>
      </c>
      <c r="U26" s="6">
        <v>539.1</v>
      </c>
      <c r="V26" s="6">
        <f t="shared" si="7"/>
        <v>662.19893999999999</v>
      </c>
      <c r="W26" s="6">
        <f>W23*0.76</f>
        <v>810.94089999999994</v>
      </c>
      <c r="X26" s="6">
        <f>X23*0.75</f>
        <v>976.33016249999991</v>
      </c>
      <c r="Y26" s="6">
        <f t="shared" ref="Y26:AF26" si="9">Y23*0.75</f>
        <v>1113.0163852499998</v>
      </c>
      <c r="Z26" s="6">
        <f t="shared" si="9"/>
        <v>1202.05769607</v>
      </c>
      <c r="AA26" s="6">
        <f t="shared" si="9"/>
        <v>1274.1811578341999</v>
      </c>
      <c r="AB26" s="6">
        <f t="shared" si="9"/>
        <v>1337.8902157259099</v>
      </c>
      <c r="AC26" s="6">
        <f t="shared" si="9"/>
        <v>1404.7847265122055</v>
      </c>
      <c r="AD26" s="6">
        <f t="shared" si="9"/>
        <v>1475.0239628378158</v>
      </c>
      <c r="AE26" s="6">
        <f t="shared" si="9"/>
        <v>1548.7751609797069</v>
      </c>
      <c r="AF26" s="6">
        <f t="shared" si="9"/>
        <v>1626.2139190286921</v>
      </c>
    </row>
    <row r="27" spans="2:32">
      <c r="B27" s="1" t="s">
        <v>18</v>
      </c>
      <c r="E27" s="6">
        <f>E25+E26</f>
        <v>201.2</v>
      </c>
      <c r="G27" s="6">
        <f t="shared" ref="G27:L27" si="10">G25+G26</f>
        <v>206.2</v>
      </c>
      <c r="H27" s="6">
        <f t="shared" si="10"/>
        <v>222.9</v>
      </c>
      <c r="I27" s="6">
        <f t="shared" si="10"/>
        <v>206.7</v>
      </c>
      <c r="J27" s="6">
        <f t="shared" si="10"/>
        <v>213.30000000000007</v>
      </c>
      <c r="K27" s="6">
        <f t="shared" si="10"/>
        <v>229</v>
      </c>
      <c r="L27" s="6">
        <f t="shared" si="10"/>
        <v>277.7</v>
      </c>
      <c r="M27" s="6">
        <f t="shared" ref="M27:N27" si="11">M25+M26</f>
        <v>270.5</v>
      </c>
      <c r="N27" s="6">
        <f t="shared" si="11"/>
        <v>248.55893999999998</v>
      </c>
      <c r="P27" s="6">
        <f t="shared" ref="P27:W27" si="12">P25+P26</f>
        <v>527.5</v>
      </c>
      <c r="Q27" s="6">
        <f t="shared" si="12"/>
        <v>544.5</v>
      </c>
      <c r="R27" s="6">
        <f t="shared" si="12"/>
        <v>586.4</v>
      </c>
      <c r="S27" s="6">
        <f t="shared" si="12"/>
        <v>672.3</v>
      </c>
      <c r="T27" s="6">
        <f t="shared" si="12"/>
        <v>768.5</v>
      </c>
      <c r="U27" s="6">
        <f t="shared" si="12"/>
        <v>849.1</v>
      </c>
      <c r="V27" s="6">
        <f t="shared" si="12"/>
        <v>1025.7589400000002</v>
      </c>
      <c r="W27" s="6">
        <f t="shared" si="12"/>
        <v>1201.9744000000001</v>
      </c>
      <c r="X27" s="6">
        <f t="shared" ref="X27:AF27" si="13">X25+X26</f>
        <v>1396.8736573000001</v>
      </c>
      <c r="Y27" s="6">
        <f t="shared" si="13"/>
        <v>1552.7684883259999</v>
      </c>
      <c r="Z27" s="6">
        <f t="shared" si="13"/>
        <v>1657.4722028172002</v>
      </c>
      <c r="AA27" s="6">
        <f t="shared" si="13"/>
        <v>1745.7249283620301</v>
      </c>
      <c r="AB27" s="6">
        <f t="shared" si="13"/>
        <v>1826.0376401455651</v>
      </c>
      <c r="AC27" s="6">
        <f t="shared" si="13"/>
        <v>1917.3395221528435</v>
      </c>
      <c r="AD27" s="6">
        <f t="shared" si="13"/>
        <v>2013.2064982604857</v>
      </c>
      <c r="AE27" s="6">
        <f t="shared" si="13"/>
        <v>2113.8668231735105</v>
      </c>
      <c r="AF27" s="6">
        <f t="shared" si="13"/>
        <v>2219.5601643321856</v>
      </c>
    </row>
    <row r="28" spans="2:32" s="2" customFormat="1">
      <c r="B28" s="2" t="s">
        <v>12</v>
      </c>
      <c r="E28" s="9">
        <f>E24-E27</f>
        <v>73.400000000000034</v>
      </c>
      <c r="G28" s="9">
        <f t="shared" ref="G28:L28" si="14">G24-G27</f>
        <v>71</v>
      </c>
      <c r="H28" s="9">
        <f t="shared" si="14"/>
        <v>77.200000000000017</v>
      </c>
      <c r="I28" s="9">
        <f t="shared" si="14"/>
        <v>69.199999999999989</v>
      </c>
      <c r="J28" s="9">
        <f t="shared" si="14"/>
        <v>69.799999999999898</v>
      </c>
      <c r="K28" s="9">
        <f t="shared" si="14"/>
        <v>73.600000000000023</v>
      </c>
      <c r="L28" s="9">
        <f t="shared" si="14"/>
        <v>73.800000000000011</v>
      </c>
      <c r="M28" s="9">
        <f t="shared" ref="M28:N28" si="15">M24-M27</f>
        <v>77.100000000000023</v>
      </c>
      <c r="N28" s="9">
        <f t="shared" si="15"/>
        <v>77.343060000000008</v>
      </c>
      <c r="P28" s="9">
        <f t="shared" ref="P28:W28" si="16">P24-P27</f>
        <v>190</v>
      </c>
      <c r="Q28" s="9">
        <f t="shared" si="16"/>
        <v>203.20000000000005</v>
      </c>
      <c r="R28" s="9">
        <f t="shared" si="16"/>
        <v>225.10000000000002</v>
      </c>
      <c r="S28" s="9">
        <f t="shared" si="16"/>
        <v>226</v>
      </c>
      <c r="T28" s="9">
        <f t="shared" si="16"/>
        <v>268.59999999999991</v>
      </c>
      <c r="U28" s="9">
        <f t="shared" si="16"/>
        <v>287.19999999999993</v>
      </c>
      <c r="V28" s="9">
        <f t="shared" si="16"/>
        <v>301.84305999999992</v>
      </c>
      <c r="W28" s="9">
        <f t="shared" si="16"/>
        <v>386.43110000000001</v>
      </c>
      <c r="X28" s="9">
        <f t="shared" ref="X28:AF28" si="17">X24-X27</f>
        <v>473.20191269999987</v>
      </c>
      <c r="Y28" s="9">
        <f t="shared" si="17"/>
        <v>533.65349987399986</v>
      </c>
      <c r="Z28" s="9">
        <f t="shared" si="17"/>
        <v>577.79154020279998</v>
      </c>
      <c r="AA28" s="9">
        <f t="shared" si="17"/>
        <v>617.32943775657009</v>
      </c>
      <c r="AB28" s="9">
        <f t="shared" si="17"/>
        <v>655.16944427896533</v>
      </c>
      <c r="AC28" s="9">
        <f t="shared" si="17"/>
        <v>687.92791649291348</v>
      </c>
      <c r="AD28" s="9">
        <f t="shared" si="17"/>
        <v>722.32431231755936</v>
      </c>
      <c r="AE28" s="9">
        <f t="shared" si="17"/>
        <v>758.4405279334369</v>
      </c>
      <c r="AF28" s="9">
        <f t="shared" si="17"/>
        <v>796.36255433010911</v>
      </c>
    </row>
    <row r="29" spans="2:32">
      <c r="B29" s="1" t="s">
        <v>19</v>
      </c>
      <c r="E29" s="6">
        <v>50.9</v>
      </c>
      <c r="G29" s="6">
        <v>54.4</v>
      </c>
      <c r="H29" s="6">
        <v>54.5</v>
      </c>
      <c r="I29" s="6">
        <v>52.6</v>
      </c>
      <c r="J29" s="6">
        <f t="shared" ref="J29:J32" si="18">U29-I29-H29-G29</f>
        <v>52.500000000000007</v>
      </c>
      <c r="K29" s="6">
        <v>57</v>
      </c>
      <c r="L29" s="6">
        <v>59.9</v>
      </c>
      <c r="M29" s="6">
        <v>59.8</v>
      </c>
      <c r="N29" s="6">
        <f>J29*1.08</f>
        <v>56.70000000000001</v>
      </c>
      <c r="P29" s="6">
        <v>130.80000000000001</v>
      </c>
      <c r="Q29" s="6">
        <v>144.5</v>
      </c>
      <c r="R29" s="6">
        <v>160.19999999999999</v>
      </c>
      <c r="S29" s="6">
        <v>182.8</v>
      </c>
      <c r="T29" s="6">
        <v>197.8</v>
      </c>
      <c r="U29" s="6">
        <v>214</v>
      </c>
      <c r="V29" s="6">
        <f t="shared" ref="V29:V32" si="19">SUM(K29:N29)</f>
        <v>233.4</v>
      </c>
      <c r="W29" s="6">
        <f>V29*1.04</f>
        <v>242.73600000000002</v>
      </c>
      <c r="X29" s="6">
        <f>W29*1.03</f>
        <v>250.01808000000003</v>
      </c>
      <c r="Y29" s="6">
        <f>X29*1.02</f>
        <v>255.01844160000002</v>
      </c>
      <c r="Z29" s="6">
        <f>Y29*1.02</f>
        <v>260.11881043200003</v>
      </c>
      <c r="AA29" s="6">
        <f>Z29*1.01</f>
        <v>262.71999853632002</v>
      </c>
      <c r="AB29" s="6">
        <f t="shared" ref="AB29:AF29" si="20">AA29*1.01</f>
        <v>265.3471985216832</v>
      </c>
      <c r="AC29" s="6">
        <f t="shared" si="20"/>
        <v>268.00067050690001</v>
      </c>
      <c r="AD29" s="6">
        <f t="shared" si="20"/>
        <v>270.680677211969</v>
      </c>
      <c r="AE29" s="6">
        <f t="shared" si="20"/>
        <v>273.3874839840887</v>
      </c>
      <c r="AF29" s="6">
        <f t="shared" si="20"/>
        <v>276.1213588239296</v>
      </c>
    </row>
    <row r="30" spans="2:32">
      <c r="B30" s="1" t="s">
        <v>41</v>
      </c>
      <c r="E30" s="6">
        <v>0</v>
      </c>
      <c r="G30" s="6"/>
      <c r="H30" s="6"/>
      <c r="I30" s="6">
        <v>0.2</v>
      </c>
      <c r="J30" s="6">
        <f t="shared" si="18"/>
        <v>0.49999999999999994</v>
      </c>
      <c r="K30" s="6"/>
      <c r="L30" s="6"/>
      <c r="M30" s="6">
        <v>0.2</v>
      </c>
      <c r="N30" s="6">
        <v>0</v>
      </c>
      <c r="P30" s="6">
        <v>2.2999999999999998</v>
      </c>
      <c r="Q30" s="6">
        <v>1.7</v>
      </c>
      <c r="R30" s="6">
        <v>1.8</v>
      </c>
      <c r="S30" s="6">
        <v>0.7</v>
      </c>
      <c r="T30" s="6">
        <v>0.4</v>
      </c>
      <c r="U30" s="6">
        <v>0.7</v>
      </c>
      <c r="V30" s="6">
        <f t="shared" si="19"/>
        <v>0.2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</row>
    <row r="31" spans="2:32">
      <c r="B31" s="1" t="s">
        <v>20</v>
      </c>
      <c r="E31" s="6">
        <v>10.3</v>
      </c>
      <c r="G31" s="6">
        <v>9.6</v>
      </c>
      <c r="H31" s="6">
        <v>10.199999999999999</v>
      </c>
      <c r="I31" s="6">
        <v>9.9</v>
      </c>
      <c r="J31" s="6">
        <f t="shared" si="18"/>
        <v>10.6</v>
      </c>
      <c r="K31" s="6">
        <v>10</v>
      </c>
      <c r="L31" s="6">
        <v>10.199999999999999</v>
      </c>
      <c r="M31" s="6">
        <v>10</v>
      </c>
      <c r="N31" s="6">
        <v>11</v>
      </c>
      <c r="P31" s="6">
        <v>18</v>
      </c>
      <c r="Q31" s="6">
        <v>27</v>
      </c>
      <c r="R31" s="6">
        <v>35.200000000000003</v>
      </c>
      <c r="S31" s="6">
        <v>38.6</v>
      </c>
      <c r="T31" s="6">
        <v>38.4</v>
      </c>
      <c r="U31" s="6">
        <v>40.299999999999997</v>
      </c>
      <c r="V31" s="6">
        <f t="shared" si="19"/>
        <v>41.2</v>
      </c>
      <c r="W31" s="6">
        <f>V31*1.02</f>
        <v>42.024000000000001</v>
      </c>
      <c r="X31" s="6">
        <f t="shared" ref="X31:AF31" si="21">W31*1.02</f>
        <v>42.86448</v>
      </c>
      <c r="Y31" s="6">
        <f t="shared" si="21"/>
        <v>43.721769600000002</v>
      </c>
      <c r="Z31" s="6">
        <f t="shared" si="21"/>
        <v>44.596204992000004</v>
      </c>
      <c r="AA31" s="6">
        <f t="shared" si="21"/>
        <v>45.488129091840008</v>
      </c>
      <c r="AB31" s="6">
        <f t="shared" si="21"/>
        <v>46.39789167367681</v>
      </c>
      <c r="AC31" s="6">
        <f t="shared" si="21"/>
        <v>47.325849507150345</v>
      </c>
      <c r="AD31" s="6">
        <f t="shared" si="21"/>
        <v>48.272366497293355</v>
      </c>
      <c r="AE31" s="6">
        <f t="shared" si="21"/>
        <v>49.237813827239222</v>
      </c>
      <c r="AF31" s="6">
        <f t="shared" si="21"/>
        <v>50.222570103784008</v>
      </c>
    </row>
    <row r="32" spans="2:32">
      <c r="B32" s="1" t="s">
        <v>40</v>
      </c>
      <c r="E32" s="6">
        <v>0</v>
      </c>
      <c r="G32" s="6"/>
      <c r="H32" s="6"/>
      <c r="I32" s="6">
        <v>0</v>
      </c>
      <c r="J32" s="6">
        <f t="shared" si="18"/>
        <v>3.2</v>
      </c>
      <c r="K32" s="6"/>
      <c r="L32" s="6"/>
      <c r="M32" s="6">
        <v>0</v>
      </c>
      <c r="N32" s="6">
        <v>0</v>
      </c>
      <c r="P32" s="6">
        <v>0.9</v>
      </c>
      <c r="Q32" s="6">
        <v>0.7</v>
      </c>
      <c r="R32" s="6">
        <v>0</v>
      </c>
      <c r="S32" s="6">
        <v>6.8</v>
      </c>
      <c r="T32" s="6">
        <v>0.9</v>
      </c>
      <c r="U32" s="6">
        <v>3.2</v>
      </c>
      <c r="V32" s="6">
        <f t="shared" si="19"/>
        <v>0</v>
      </c>
      <c r="W32" s="6">
        <v>0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  <c r="AD32" s="6">
        <v>0</v>
      </c>
      <c r="AE32" s="6">
        <v>0</v>
      </c>
      <c r="AF32" s="6">
        <v>0</v>
      </c>
    </row>
    <row r="33" spans="2:137">
      <c r="B33" s="1" t="s">
        <v>39</v>
      </c>
      <c r="E33" s="6">
        <f>SUM(E29:E32)</f>
        <v>61.2</v>
      </c>
      <c r="G33" s="6">
        <f>SUM(G29:G31)</f>
        <v>64</v>
      </c>
      <c r="H33" s="6">
        <f>SUM(H29:H31)</f>
        <v>64.7</v>
      </c>
      <c r="I33" s="6">
        <f>SUM(I29:I32)</f>
        <v>62.7</v>
      </c>
      <c r="J33" s="6">
        <f>SUM(J29:J32)</f>
        <v>66.800000000000011</v>
      </c>
      <c r="K33" s="6">
        <f t="shared" ref="K33:L33" si="22">SUM(K29:K31)</f>
        <v>67</v>
      </c>
      <c r="L33" s="6">
        <f t="shared" si="22"/>
        <v>70.099999999999994</v>
      </c>
      <c r="M33" s="6">
        <f t="shared" ref="M33" si="23">SUM(M29:M31)</f>
        <v>70</v>
      </c>
      <c r="N33" s="6">
        <f t="shared" ref="N33" si="24">SUM(N29:N31)</f>
        <v>67.700000000000017</v>
      </c>
      <c r="P33" s="6">
        <f t="shared" ref="P33:W33" si="25">SUM(P29:P32)</f>
        <v>152.00000000000003</v>
      </c>
      <c r="Q33" s="6">
        <f t="shared" si="25"/>
        <v>173.89999999999998</v>
      </c>
      <c r="R33" s="6">
        <f t="shared" si="25"/>
        <v>197.2</v>
      </c>
      <c r="S33" s="6">
        <f t="shared" si="25"/>
        <v>228.9</v>
      </c>
      <c r="T33" s="6">
        <f t="shared" si="25"/>
        <v>237.50000000000003</v>
      </c>
      <c r="U33" s="6">
        <f t="shared" si="25"/>
        <v>258.2</v>
      </c>
      <c r="V33" s="6">
        <f t="shared" si="25"/>
        <v>274.8</v>
      </c>
      <c r="W33" s="6">
        <f t="shared" si="25"/>
        <v>284.76</v>
      </c>
      <c r="X33" s="6">
        <f t="shared" ref="X33:AF33" si="26">SUM(X29:X32)</f>
        <v>292.88256000000001</v>
      </c>
      <c r="Y33" s="6">
        <f t="shared" si="26"/>
        <v>298.74021120000003</v>
      </c>
      <c r="Z33" s="6">
        <f t="shared" si="26"/>
        <v>304.71501542400006</v>
      </c>
      <c r="AA33" s="6">
        <f t="shared" si="26"/>
        <v>308.20812762816001</v>
      </c>
      <c r="AB33" s="6">
        <f t="shared" si="26"/>
        <v>311.74509019536004</v>
      </c>
      <c r="AC33" s="6">
        <f t="shared" si="26"/>
        <v>315.32652001405035</v>
      </c>
      <c r="AD33" s="6">
        <f t="shared" si="26"/>
        <v>318.95304370926237</v>
      </c>
      <c r="AE33" s="6">
        <f t="shared" si="26"/>
        <v>322.62529781132793</v>
      </c>
      <c r="AF33" s="6">
        <f t="shared" si="26"/>
        <v>326.34392892771359</v>
      </c>
    </row>
    <row r="34" spans="2:137" s="2" customFormat="1">
      <c r="B34" s="2" t="s">
        <v>21</v>
      </c>
      <c r="E34" s="9">
        <f>E28-E33</f>
        <v>12.200000000000031</v>
      </c>
      <c r="G34" s="9">
        <f t="shared" ref="G34:H34" si="27">G28-G33</f>
        <v>7</v>
      </c>
      <c r="H34" s="9">
        <f t="shared" si="27"/>
        <v>12.500000000000014</v>
      </c>
      <c r="I34" s="9">
        <f>I28-I33</f>
        <v>6.4999999999999858</v>
      </c>
      <c r="J34" s="9">
        <f>J28-J33</f>
        <v>2.9999999999998863</v>
      </c>
      <c r="K34" s="9">
        <f t="shared" ref="K34" si="28">K28-K33</f>
        <v>6.6000000000000227</v>
      </c>
      <c r="L34" s="9">
        <f>L28-L33</f>
        <v>3.7000000000000171</v>
      </c>
      <c r="M34" s="9">
        <f t="shared" ref="M34:N34" si="29">M28-M33</f>
        <v>7.1000000000000227</v>
      </c>
      <c r="N34" s="9">
        <f t="shared" si="29"/>
        <v>9.6430599999999913</v>
      </c>
      <c r="P34" s="9">
        <f t="shared" ref="P34:W34" si="30">P28-P33</f>
        <v>37.999999999999972</v>
      </c>
      <c r="Q34" s="9">
        <f t="shared" si="30"/>
        <v>29.300000000000068</v>
      </c>
      <c r="R34" s="9">
        <f t="shared" si="30"/>
        <v>27.900000000000034</v>
      </c>
      <c r="S34" s="9">
        <f t="shared" si="30"/>
        <v>-2.9000000000000057</v>
      </c>
      <c r="T34" s="9">
        <f t="shared" si="30"/>
        <v>31.099999999999881</v>
      </c>
      <c r="U34" s="9">
        <f t="shared" si="30"/>
        <v>28.999999999999943</v>
      </c>
      <c r="V34" s="9">
        <f t="shared" si="30"/>
        <v>27.043059999999912</v>
      </c>
      <c r="W34" s="9">
        <f t="shared" si="30"/>
        <v>101.67110000000002</v>
      </c>
      <c r="X34" s="9">
        <f t="shared" ref="X34:AF34" si="31">X28-X33</f>
        <v>180.31935269999985</v>
      </c>
      <c r="Y34" s="9">
        <f t="shared" si="31"/>
        <v>234.91328867399983</v>
      </c>
      <c r="Z34" s="9">
        <f t="shared" si="31"/>
        <v>273.07652477879992</v>
      </c>
      <c r="AA34" s="9">
        <f t="shared" si="31"/>
        <v>309.12131012841007</v>
      </c>
      <c r="AB34" s="9">
        <f t="shared" si="31"/>
        <v>343.42435408360529</v>
      </c>
      <c r="AC34" s="9">
        <f t="shared" si="31"/>
        <v>372.60139647886314</v>
      </c>
      <c r="AD34" s="9">
        <f t="shared" si="31"/>
        <v>403.37126860829699</v>
      </c>
      <c r="AE34" s="9">
        <f t="shared" si="31"/>
        <v>435.81523012210897</v>
      </c>
      <c r="AF34" s="9">
        <f t="shared" si="31"/>
        <v>470.01862540239551</v>
      </c>
    </row>
    <row r="35" spans="2:137">
      <c r="B35" s="1" t="s">
        <v>22</v>
      </c>
      <c r="E35" s="6">
        <v>5.0999999999999996</v>
      </c>
      <c r="G35" s="6">
        <v>2.8</v>
      </c>
      <c r="H35" s="6">
        <v>-0.1</v>
      </c>
      <c r="I35" s="6">
        <v>0</v>
      </c>
      <c r="J35" s="6">
        <f t="shared" ref="J35:J36" si="32">U35-I35-H35-G35</f>
        <v>0.30000000000000027</v>
      </c>
      <c r="K35" s="6">
        <v>0.9</v>
      </c>
      <c r="L35" s="6">
        <v>1.2</v>
      </c>
      <c r="M35" s="6">
        <v>-0.2</v>
      </c>
      <c r="N35" s="6">
        <v>1</v>
      </c>
      <c r="P35" s="6">
        <v>21.6</v>
      </c>
      <c r="Q35" s="6">
        <v>22.8</v>
      </c>
      <c r="R35" s="6">
        <v>23.4</v>
      </c>
      <c r="S35" s="6">
        <v>17.7</v>
      </c>
      <c r="T35" s="6">
        <v>20.5</v>
      </c>
      <c r="U35" s="6">
        <v>3</v>
      </c>
      <c r="V35" s="6">
        <f t="shared" ref="V35:V36" si="33">SUM(K35:N35)</f>
        <v>2.9000000000000004</v>
      </c>
      <c r="W35" s="6">
        <f>V35*1.03</f>
        <v>2.9870000000000005</v>
      </c>
      <c r="X35" s="6">
        <f t="shared" ref="X35:AF35" si="34">W35*1.03</f>
        <v>3.0766100000000005</v>
      </c>
      <c r="Y35" s="6">
        <f t="shared" si="34"/>
        <v>3.1689083000000005</v>
      </c>
      <c r="Z35" s="6">
        <f t="shared" si="34"/>
        <v>3.2639755490000004</v>
      </c>
      <c r="AA35" s="6">
        <f t="shared" si="34"/>
        <v>3.3618948154700004</v>
      </c>
      <c r="AB35" s="6">
        <f t="shared" si="34"/>
        <v>3.4627516599341006</v>
      </c>
      <c r="AC35" s="6">
        <f t="shared" si="34"/>
        <v>3.5666342097321238</v>
      </c>
      <c r="AD35" s="6">
        <f t="shared" si="34"/>
        <v>3.6736332360240875</v>
      </c>
      <c r="AE35" s="6">
        <f t="shared" si="34"/>
        <v>3.78384223310481</v>
      </c>
      <c r="AF35" s="6">
        <f t="shared" si="34"/>
        <v>3.8973575000979546</v>
      </c>
    </row>
    <row r="36" spans="2:137">
      <c r="B36" s="1" t="s">
        <v>23</v>
      </c>
      <c r="E36" s="6">
        <v>0.3</v>
      </c>
      <c r="G36" s="6">
        <v>0.2</v>
      </c>
      <c r="H36" s="6">
        <v>-0.1</v>
      </c>
      <c r="I36" s="6">
        <v>0.7</v>
      </c>
      <c r="J36" s="6">
        <f t="shared" si="32"/>
        <v>-1.2999999999999998</v>
      </c>
      <c r="K36" s="6">
        <v>0.3</v>
      </c>
      <c r="L36" s="6">
        <v>-2.1</v>
      </c>
      <c r="M36" s="6">
        <v>-4.8</v>
      </c>
      <c r="N36" s="6">
        <v>0</v>
      </c>
      <c r="P36" s="6">
        <v>0.7</v>
      </c>
      <c r="Q36" s="6">
        <v>-0.3</v>
      </c>
      <c r="R36" s="6">
        <v>0.1</v>
      </c>
      <c r="S36" s="6">
        <f>13-0.6</f>
        <v>12.4</v>
      </c>
      <c r="T36" s="6">
        <v>-0.5</v>
      </c>
      <c r="U36" s="6">
        <v>-0.5</v>
      </c>
      <c r="V36" s="6">
        <f t="shared" si="33"/>
        <v>-6.6</v>
      </c>
      <c r="W36" s="6">
        <v>0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0</v>
      </c>
      <c r="AF36" s="6">
        <v>0</v>
      </c>
    </row>
    <row r="37" spans="2:137" s="2" customFormat="1">
      <c r="B37" s="2" t="s">
        <v>24</v>
      </c>
      <c r="E37" s="9">
        <f>E34-E35-E36</f>
        <v>6.8000000000000318</v>
      </c>
      <c r="G37" s="9">
        <f t="shared" ref="G37:L37" si="35">G34-G35-G36</f>
        <v>4</v>
      </c>
      <c r="H37" s="9">
        <f t="shared" si="35"/>
        <v>12.700000000000014</v>
      </c>
      <c r="I37" s="9">
        <f t="shared" si="35"/>
        <v>5.7999999999999856</v>
      </c>
      <c r="J37" s="9">
        <f t="shared" si="35"/>
        <v>3.9999999999998859</v>
      </c>
      <c r="K37" s="9">
        <f t="shared" si="35"/>
        <v>5.4000000000000226</v>
      </c>
      <c r="L37" s="9">
        <f t="shared" si="35"/>
        <v>4.6000000000000174</v>
      </c>
      <c r="M37" s="9">
        <f t="shared" ref="M37:N37" si="36">M34-M35-M36</f>
        <v>12.100000000000023</v>
      </c>
      <c r="N37" s="9">
        <f t="shared" si="36"/>
        <v>8.6430599999999913</v>
      </c>
      <c r="P37" s="9">
        <f t="shared" ref="P37:W37" si="37">P34-P35-P36</f>
        <v>15.699999999999971</v>
      </c>
      <c r="Q37" s="9">
        <f t="shared" si="37"/>
        <v>6.8000000000000673</v>
      </c>
      <c r="R37" s="9">
        <f t="shared" si="37"/>
        <v>4.4000000000000359</v>
      </c>
      <c r="S37" s="9">
        <f t="shared" si="37"/>
        <v>-33.000000000000007</v>
      </c>
      <c r="T37" s="9">
        <f t="shared" si="37"/>
        <v>11.099999999999881</v>
      </c>
      <c r="U37" s="9">
        <f t="shared" si="37"/>
        <v>26.499999999999943</v>
      </c>
      <c r="V37" s="9">
        <f t="shared" si="37"/>
        <v>30.743059999999915</v>
      </c>
      <c r="W37" s="9">
        <f t="shared" si="37"/>
        <v>98.684100000000029</v>
      </c>
      <c r="X37" s="9">
        <f t="shared" ref="X37:AF37" si="38">X34-X35-X36</f>
        <v>177.24274269999987</v>
      </c>
      <c r="Y37" s="9">
        <f t="shared" si="38"/>
        <v>231.74438037399983</v>
      </c>
      <c r="Z37" s="9">
        <f t="shared" si="38"/>
        <v>269.81254922979991</v>
      </c>
      <c r="AA37" s="9">
        <f t="shared" si="38"/>
        <v>305.75941531294006</v>
      </c>
      <c r="AB37" s="9">
        <f t="shared" si="38"/>
        <v>339.9616024236712</v>
      </c>
      <c r="AC37" s="9">
        <f t="shared" si="38"/>
        <v>369.03476226913102</v>
      </c>
      <c r="AD37" s="9">
        <f t="shared" si="38"/>
        <v>399.69763537227288</v>
      </c>
      <c r="AE37" s="9">
        <f t="shared" si="38"/>
        <v>432.03138788900418</v>
      </c>
      <c r="AF37" s="9">
        <f t="shared" si="38"/>
        <v>466.12126790229757</v>
      </c>
    </row>
    <row r="38" spans="2:137">
      <c r="B38" s="1" t="s">
        <v>25</v>
      </c>
      <c r="E38" s="6">
        <v>3.8</v>
      </c>
      <c r="G38" s="6">
        <v>2.7</v>
      </c>
      <c r="H38" s="6">
        <v>4.8</v>
      </c>
      <c r="I38" s="6">
        <v>2.6</v>
      </c>
      <c r="J38" s="6">
        <f>U38-I38-H38-G38</f>
        <v>9.9999999999999645E-2</v>
      </c>
      <c r="K38" s="6">
        <v>0.9</v>
      </c>
      <c r="L38" s="6">
        <v>1.7</v>
      </c>
      <c r="M38" s="6">
        <v>3.2</v>
      </c>
      <c r="N38" s="6">
        <f>N37*0.2</f>
        <v>1.7286119999999983</v>
      </c>
      <c r="P38" s="6">
        <v>4.8</v>
      </c>
      <c r="Q38" s="6">
        <v>-73.5</v>
      </c>
      <c r="R38" s="6">
        <v>3.9</v>
      </c>
      <c r="S38" s="6">
        <v>0.2</v>
      </c>
      <c r="T38" s="6">
        <v>8.6999999999999993</v>
      </c>
      <c r="U38" s="6">
        <v>10.199999999999999</v>
      </c>
      <c r="V38" s="6">
        <f>SUM(K38:N38)</f>
        <v>7.528611999999999</v>
      </c>
      <c r="W38" s="6">
        <f>W37*0.2</f>
        <v>19.736820000000009</v>
      </c>
      <c r="X38" s="6">
        <f t="shared" ref="X38:AF38" si="39">X37*0.2</f>
        <v>35.448548539999976</v>
      </c>
      <c r="Y38" s="6">
        <f t="shared" si="39"/>
        <v>46.348876074799968</v>
      </c>
      <c r="Z38" s="6">
        <f t="shared" si="39"/>
        <v>53.962509845959985</v>
      </c>
      <c r="AA38" s="6">
        <f t="shared" si="39"/>
        <v>61.151883062588013</v>
      </c>
      <c r="AB38" s="6">
        <f t="shared" si="39"/>
        <v>67.992320484734236</v>
      </c>
      <c r="AC38" s="6">
        <f t="shared" si="39"/>
        <v>73.806952453826213</v>
      </c>
      <c r="AD38" s="6">
        <f t="shared" si="39"/>
        <v>79.939527074454588</v>
      </c>
      <c r="AE38" s="6">
        <f t="shared" si="39"/>
        <v>86.406277577800836</v>
      </c>
      <c r="AF38" s="6">
        <f t="shared" si="39"/>
        <v>93.224253580459518</v>
      </c>
    </row>
    <row r="39" spans="2:137" s="2" customFormat="1">
      <c r="B39" s="2" t="s">
        <v>26</v>
      </c>
      <c r="E39" s="9">
        <f>E37-E38</f>
        <v>3.000000000000032</v>
      </c>
      <c r="G39" s="9">
        <f t="shared" ref="G39:L39" si="40">G37-G38</f>
        <v>1.2999999999999998</v>
      </c>
      <c r="H39" s="9">
        <f t="shared" si="40"/>
        <v>7.9000000000000137</v>
      </c>
      <c r="I39" s="9">
        <f t="shared" si="40"/>
        <v>3.1999999999999855</v>
      </c>
      <c r="J39" s="9">
        <f t="shared" si="40"/>
        <v>3.8999999999998862</v>
      </c>
      <c r="K39" s="9">
        <f t="shared" si="40"/>
        <v>4.5000000000000222</v>
      </c>
      <c r="L39" s="9">
        <f t="shared" si="40"/>
        <v>2.9000000000000172</v>
      </c>
      <c r="M39" s="9">
        <f t="shared" ref="M39:N39" si="41">M37-M38</f>
        <v>8.9000000000000234</v>
      </c>
      <c r="N39" s="9">
        <f t="shared" si="41"/>
        <v>6.914447999999993</v>
      </c>
      <c r="P39" s="9">
        <f t="shared" ref="P39:W39" si="42">P37-P38</f>
        <v>10.89999999999997</v>
      </c>
      <c r="Q39" s="9">
        <f t="shared" si="42"/>
        <v>80.300000000000068</v>
      </c>
      <c r="R39" s="9">
        <f t="shared" si="42"/>
        <v>0.50000000000003597</v>
      </c>
      <c r="S39" s="9">
        <f t="shared" si="42"/>
        <v>-33.20000000000001</v>
      </c>
      <c r="T39" s="9">
        <f t="shared" si="42"/>
        <v>2.3999999999998813</v>
      </c>
      <c r="U39" s="9">
        <f t="shared" si="42"/>
        <v>16.299999999999944</v>
      </c>
      <c r="V39" s="9">
        <f t="shared" si="42"/>
        <v>23.214447999999916</v>
      </c>
      <c r="W39" s="9">
        <f t="shared" si="42"/>
        <v>78.947280000000021</v>
      </c>
      <c r="X39" s="9">
        <f t="shared" ref="X39:AF39" si="43">X37-X38</f>
        <v>141.7941941599999</v>
      </c>
      <c r="Y39" s="9">
        <f t="shared" si="43"/>
        <v>185.39550429919987</v>
      </c>
      <c r="Z39" s="9">
        <f t="shared" si="43"/>
        <v>215.85003938383994</v>
      </c>
      <c r="AA39" s="9">
        <f t="shared" si="43"/>
        <v>244.60753225035205</v>
      </c>
      <c r="AB39" s="9">
        <f t="shared" si="43"/>
        <v>271.96928193893694</v>
      </c>
      <c r="AC39" s="9">
        <f t="shared" si="43"/>
        <v>295.22780981530479</v>
      </c>
      <c r="AD39" s="9">
        <f t="shared" si="43"/>
        <v>319.7581082978183</v>
      </c>
      <c r="AE39" s="9">
        <f t="shared" si="43"/>
        <v>345.62511031120334</v>
      </c>
      <c r="AF39" s="9">
        <f t="shared" si="43"/>
        <v>372.89701432183807</v>
      </c>
      <c r="AG39" s="2">
        <f>AF39*(1+$AI$45)</f>
        <v>369.16804417861971</v>
      </c>
      <c r="AH39" s="2">
        <f t="shared" ref="AH39:CS39" si="44">AG39*(1+$AI$45)</f>
        <v>365.47636373683349</v>
      </c>
      <c r="AI39" s="2">
        <f t="shared" si="44"/>
        <v>361.82160009946517</v>
      </c>
      <c r="AJ39" s="2">
        <f t="shared" si="44"/>
        <v>358.20338409847051</v>
      </c>
      <c r="AK39" s="2">
        <f t="shared" si="44"/>
        <v>354.6213502574858</v>
      </c>
      <c r="AL39" s="2">
        <f t="shared" si="44"/>
        <v>351.07513675491094</v>
      </c>
      <c r="AM39" s="2">
        <f t="shared" si="44"/>
        <v>347.56438538736182</v>
      </c>
      <c r="AN39" s="2">
        <f t="shared" si="44"/>
        <v>344.08874153348819</v>
      </c>
      <c r="AO39" s="2">
        <f t="shared" si="44"/>
        <v>340.6478541181533</v>
      </c>
      <c r="AP39" s="2">
        <f t="shared" si="44"/>
        <v>337.24137557697179</v>
      </c>
      <c r="AQ39" s="2">
        <f t="shared" si="44"/>
        <v>333.86896182120205</v>
      </c>
      <c r="AR39" s="2">
        <f t="shared" si="44"/>
        <v>330.53027220299003</v>
      </c>
      <c r="AS39" s="2">
        <f t="shared" si="44"/>
        <v>327.22496948096011</v>
      </c>
      <c r="AT39" s="2">
        <f t="shared" si="44"/>
        <v>323.95271978615051</v>
      </c>
      <c r="AU39" s="2">
        <f t="shared" si="44"/>
        <v>320.71319258828902</v>
      </c>
      <c r="AV39" s="2">
        <f t="shared" si="44"/>
        <v>317.50606066240613</v>
      </c>
      <c r="AW39" s="2">
        <f t="shared" si="44"/>
        <v>314.33100005578206</v>
      </c>
      <c r="AX39" s="2">
        <f t="shared" si="44"/>
        <v>311.18769005522421</v>
      </c>
      <c r="AY39" s="2">
        <f t="shared" si="44"/>
        <v>308.07581315467195</v>
      </c>
      <c r="AZ39" s="2">
        <f t="shared" si="44"/>
        <v>304.99505502312525</v>
      </c>
      <c r="BA39" s="2">
        <f t="shared" si="44"/>
        <v>301.945104472894</v>
      </c>
      <c r="BB39" s="2">
        <f t="shared" si="44"/>
        <v>298.92565342816505</v>
      </c>
      <c r="BC39" s="2">
        <f t="shared" si="44"/>
        <v>295.9363968938834</v>
      </c>
      <c r="BD39" s="2">
        <f t="shared" si="44"/>
        <v>292.97703292494458</v>
      </c>
      <c r="BE39" s="2">
        <f t="shared" si="44"/>
        <v>290.04726259569514</v>
      </c>
      <c r="BF39" s="2">
        <f t="shared" si="44"/>
        <v>287.14678996973817</v>
      </c>
      <c r="BG39" s="2">
        <f t="shared" si="44"/>
        <v>284.27532207004077</v>
      </c>
      <c r="BH39" s="2">
        <f t="shared" si="44"/>
        <v>281.43256884934038</v>
      </c>
      <c r="BI39" s="2">
        <f t="shared" si="44"/>
        <v>278.61824316084699</v>
      </c>
      <c r="BJ39" s="2">
        <f t="shared" si="44"/>
        <v>275.83206072923849</v>
      </c>
      <c r="BK39" s="2">
        <f t="shared" si="44"/>
        <v>273.07374012194612</v>
      </c>
      <c r="BL39" s="2">
        <f t="shared" si="44"/>
        <v>270.34300272072664</v>
      </c>
      <c r="BM39" s="2">
        <f t="shared" si="44"/>
        <v>267.63957269351937</v>
      </c>
      <c r="BN39" s="2">
        <f t="shared" si="44"/>
        <v>264.96317696658417</v>
      </c>
      <c r="BO39" s="2">
        <f t="shared" si="44"/>
        <v>262.31354519691831</v>
      </c>
      <c r="BP39" s="2">
        <f t="shared" si="44"/>
        <v>259.69040974494914</v>
      </c>
      <c r="BQ39" s="2">
        <f t="shared" si="44"/>
        <v>257.09350564749963</v>
      </c>
      <c r="BR39" s="2">
        <f t="shared" si="44"/>
        <v>254.52257059102462</v>
      </c>
      <c r="BS39" s="2">
        <f t="shared" si="44"/>
        <v>251.97734488511438</v>
      </c>
      <c r="BT39" s="2">
        <f t="shared" si="44"/>
        <v>249.45757143626324</v>
      </c>
      <c r="BU39" s="2">
        <f t="shared" si="44"/>
        <v>246.9629957219006</v>
      </c>
      <c r="BV39" s="2">
        <f t="shared" si="44"/>
        <v>244.49336576468158</v>
      </c>
      <c r="BW39" s="2">
        <f t="shared" si="44"/>
        <v>242.04843210703476</v>
      </c>
      <c r="BX39" s="2">
        <f t="shared" si="44"/>
        <v>239.62794778596441</v>
      </c>
      <c r="BY39" s="2">
        <f t="shared" si="44"/>
        <v>237.23166830810476</v>
      </c>
      <c r="BZ39" s="2">
        <f t="shared" si="44"/>
        <v>234.85935162502372</v>
      </c>
      <c r="CA39" s="2">
        <f t="shared" si="44"/>
        <v>232.51075810877347</v>
      </c>
      <c r="CB39" s="2">
        <f t="shared" si="44"/>
        <v>230.18565052768574</v>
      </c>
      <c r="CC39" s="2">
        <f t="shared" si="44"/>
        <v>227.88379402240886</v>
      </c>
      <c r="CD39" s="2">
        <f t="shared" si="44"/>
        <v>225.60495608218477</v>
      </c>
      <c r="CE39" s="2">
        <f t="shared" si="44"/>
        <v>223.34890652136292</v>
      </c>
      <c r="CF39" s="2">
        <f t="shared" si="44"/>
        <v>221.11541745614929</v>
      </c>
      <c r="CG39" s="2">
        <f t="shared" si="44"/>
        <v>218.90426328158779</v>
      </c>
      <c r="CH39" s="2">
        <f t="shared" si="44"/>
        <v>216.71522064877192</v>
      </c>
      <c r="CI39" s="2">
        <f t="shared" si="44"/>
        <v>214.5480684422842</v>
      </c>
      <c r="CJ39" s="2">
        <f t="shared" si="44"/>
        <v>212.40258775786137</v>
      </c>
      <c r="CK39" s="2">
        <f t="shared" si="44"/>
        <v>210.27856188028275</v>
      </c>
      <c r="CL39" s="2">
        <f t="shared" si="44"/>
        <v>208.17577626147991</v>
      </c>
      <c r="CM39" s="2">
        <f t="shared" si="44"/>
        <v>206.0940184988651</v>
      </c>
      <c r="CN39" s="2">
        <f t="shared" si="44"/>
        <v>204.03307831387644</v>
      </c>
      <c r="CO39" s="2">
        <f t="shared" si="44"/>
        <v>201.99274753073769</v>
      </c>
      <c r="CP39" s="2">
        <f t="shared" si="44"/>
        <v>199.9728200554303</v>
      </c>
      <c r="CQ39" s="2">
        <f t="shared" si="44"/>
        <v>197.973091854876</v>
      </c>
      <c r="CR39" s="2">
        <f t="shared" si="44"/>
        <v>195.99336093632724</v>
      </c>
      <c r="CS39" s="2">
        <f t="shared" si="44"/>
        <v>194.03342732696396</v>
      </c>
      <c r="CT39" s="2">
        <f t="shared" ref="CT39:EG39" si="45">CS39*(1+$AI$45)</f>
        <v>192.09309305369433</v>
      </c>
      <c r="CU39" s="2">
        <f t="shared" si="45"/>
        <v>190.17216212315739</v>
      </c>
      <c r="CV39" s="2">
        <f t="shared" si="45"/>
        <v>188.2704405019258</v>
      </c>
      <c r="CW39" s="2">
        <f t="shared" si="45"/>
        <v>186.38773609690654</v>
      </c>
      <c r="CX39" s="2">
        <f t="shared" si="45"/>
        <v>184.52385873593747</v>
      </c>
      <c r="CY39" s="2">
        <f t="shared" si="45"/>
        <v>182.67862014857809</v>
      </c>
      <c r="CZ39" s="2">
        <f t="shared" si="45"/>
        <v>180.8518339470923</v>
      </c>
      <c r="DA39" s="2">
        <f t="shared" si="45"/>
        <v>179.04331560762137</v>
      </c>
      <c r="DB39" s="2">
        <f t="shared" si="45"/>
        <v>177.25288245154516</v>
      </c>
      <c r="DC39" s="2">
        <f t="shared" si="45"/>
        <v>175.4803536270297</v>
      </c>
      <c r="DD39" s="2">
        <f t="shared" si="45"/>
        <v>173.72555009075941</v>
      </c>
      <c r="DE39" s="2">
        <f t="shared" si="45"/>
        <v>171.98829458985182</v>
      </c>
      <c r="DF39" s="2">
        <f t="shared" si="45"/>
        <v>170.2684116439533</v>
      </c>
      <c r="DG39" s="2">
        <f t="shared" si="45"/>
        <v>168.56572752751376</v>
      </c>
      <c r="DH39" s="2">
        <f t="shared" si="45"/>
        <v>166.88007025223862</v>
      </c>
      <c r="DI39" s="2">
        <f t="shared" si="45"/>
        <v>165.21126954971623</v>
      </c>
      <c r="DJ39" s="2">
        <f t="shared" si="45"/>
        <v>163.55915685421908</v>
      </c>
      <c r="DK39" s="2">
        <f t="shared" si="45"/>
        <v>161.92356528567689</v>
      </c>
      <c r="DL39" s="2">
        <f t="shared" si="45"/>
        <v>160.30432963282013</v>
      </c>
      <c r="DM39" s="2">
        <f t="shared" si="45"/>
        <v>158.70128633649193</v>
      </c>
      <c r="DN39" s="2">
        <f t="shared" si="45"/>
        <v>157.11427347312701</v>
      </c>
      <c r="DO39" s="2">
        <f t="shared" si="45"/>
        <v>155.54313073839575</v>
      </c>
      <c r="DP39" s="2">
        <f t="shared" si="45"/>
        <v>153.98769943101178</v>
      </c>
      <c r="DQ39" s="2">
        <f t="shared" si="45"/>
        <v>152.44782243670167</v>
      </c>
      <c r="DR39" s="2">
        <f t="shared" si="45"/>
        <v>150.92334421233465</v>
      </c>
      <c r="DS39" s="2">
        <f t="shared" si="45"/>
        <v>149.41411077021129</v>
      </c>
      <c r="DT39" s="2">
        <f t="shared" si="45"/>
        <v>147.91996966250917</v>
      </c>
      <c r="DU39" s="2">
        <f t="shared" si="45"/>
        <v>146.44076996588407</v>
      </c>
      <c r="DV39" s="2">
        <f t="shared" si="45"/>
        <v>144.97636226622524</v>
      </c>
      <c r="DW39" s="2">
        <f t="shared" si="45"/>
        <v>143.52659864356298</v>
      </c>
      <c r="DX39" s="2">
        <f t="shared" si="45"/>
        <v>142.09133265712734</v>
      </c>
      <c r="DY39" s="2">
        <f t="shared" si="45"/>
        <v>140.67041933055606</v>
      </c>
      <c r="DZ39" s="2">
        <f t="shared" si="45"/>
        <v>139.2637151372505</v>
      </c>
      <c r="EA39" s="2">
        <f t="shared" si="45"/>
        <v>137.871077985878</v>
      </c>
      <c r="EB39" s="2">
        <f t="shared" si="45"/>
        <v>136.49236720601922</v>
      </c>
      <c r="EC39" s="2">
        <f t="shared" si="45"/>
        <v>135.12744353395902</v>
      </c>
      <c r="ED39" s="2">
        <f t="shared" si="45"/>
        <v>133.77616909861942</v>
      </c>
      <c r="EE39" s="2">
        <f t="shared" si="45"/>
        <v>132.43840740763324</v>
      </c>
      <c r="EF39" s="2">
        <f t="shared" si="45"/>
        <v>131.1140233335569</v>
      </c>
      <c r="EG39" s="2">
        <f t="shared" si="45"/>
        <v>129.80288310022132</v>
      </c>
    </row>
    <row r="40" spans="2:137">
      <c r="B40" s="1" t="s">
        <v>2</v>
      </c>
      <c r="E40" s="6">
        <f>168.8</f>
        <v>168.8</v>
      </c>
      <c r="G40" s="6">
        <f t="shared" ref="G40:L40" si="46">168.8</f>
        <v>168.8</v>
      </c>
      <c r="H40" s="6">
        <f t="shared" si="46"/>
        <v>168.8</v>
      </c>
      <c r="I40" s="6">
        <f t="shared" si="46"/>
        <v>168.8</v>
      </c>
      <c r="J40" s="6">
        <f t="shared" si="46"/>
        <v>168.8</v>
      </c>
      <c r="K40" s="6">
        <f t="shared" si="46"/>
        <v>168.8</v>
      </c>
      <c r="L40" s="6">
        <f t="shared" si="46"/>
        <v>168.8</v>
      </c>
      <c r="M40" s="6">
        <f>168.8</f>
        <v>168.8</v>
      </c>
      <c r="N40" s="6">
        <f>168.8</f>
        <v>168.8</v>
      </c>
      <c r="P40" s="6">
        <f t="shared" ref="P40:W40" si="47">168.8</f>
        <v>168.8</v>
      </c>
      <c r="Q40" s="6">
        <f t="shared" si="47"/>
        <v>168.8</v>
      </c>
      <c r="R40" s="6">
        <f t="shared" si="47"/>
        <v>168.8</v>
      </c>
      <c r="S40" s="6">
        <f t="shared" si="47"/>
        <v>168.8</v>
      </c>
      <c r="T40" s="6">
        <f t="shared" si="47"/>
        <v>168.8</v>
      </c>
      <c r="U40" s="6">
        <f t="shared" si="47"/>
        <v>168.8</v>
      </c>
      <c r="V40" s="6">
        <f t="shared" si="47"/>
        <v>168.8</v>
      </c>
      <c r="W40" s="6">
        <f t="shared" si="47"/>
        <v>168.8</v>
      </c>
      <c r="X40" s="6">
        <f t="shared" ref="X40:AF40" si="48">168.8</f>
        <v>168.8</v>
      </c>
      <c r="Y40" s="6">
        <f t="shared" si="48"/>
        <v>168.8</v>
      </c>
      <c r="Z40" s="6">
        <f t="shared" si="48"/>
        <v>168.8</v>
      </c>
      <c r="AA40" s="6">
        <f t="shared" si="48"/>
        <v>168.8</v>
      </c>
      <c r="AB40" s="6">
        <f t="shared" si="48"/>
        <v>168.8</v>
      </c>
      <c r="AC40" s="6">
        <f t="shared" si="48"/>
        <v>168.8</v>
      </c>
      <c r="AD40" s="6">
        <f t="shared" si="48"/>
        <v>168.8</v>
      </c>
      <c r="AE40" s="6">
        <f t="shared" si="48"/>
        <v>168.8</v>
      </c>
      <c r="AF40" s="6">
        <f t="shared" si="48"/>
        <v>168.8</v>
      </c>
    </row>
    <row r="41" spans="2:137">
      <c r="B41" s="1" t="s">
        <v>27</v>
      </c>
      <c r="E41" s="8">
        <f>E39/E40</f>
        <v>1.7772511848341419E-2</v>
      </c>
      <c r="G41" s="8">
        <f t="shared" ref="G41:L41" si="49">G39/G40</f>
        <v>7.7014218009478662E-3</v>
      </c>
      <c r="H41" s="8">
        <f t="shared" si="49"/>
        <v>4.6800947867298659E-2</v>
      </c>
      <c r="I41" s="8">
        <f t="shared" si="49"/>
        <v>1.8957345971563892E-2</v>
      </c>
      <c r="J41" s="8">
        <f t="shared" si="49"/>
        <v>2.3104265402842928E-2</v>
      </c>
      <c r="K41" s="8">
        <f t="shared" si="49"/>
        <v>2.6658767772511978E-2</v>
      </c>
      <c r="L41" s="8">
        <f t="shared" si="49"/>
        <v>1.7180094786729959E-2</v>
      </c>
      <c r="M41" s="8">
        <f t="shared" ref="M41:N41" si="50">M39/M40</f>
        <v>5.2725118483412457E-2</v>
      </c>
      <c r="N41" s="8">
        <f t="shared" si="50"/>
        <v>4.0962369668246401E-2</v>
      </c>
      <c r="P41" s="8">
        <f t="shared" ref="P41:W41" si="51">P39/P40</f>
        <v>6.4573459715639631E-2</v>
      </c>
      <c r="Q41" s="8">
        <f t="shared" si="51"/>
        <v>0.475710900473934</v>
      </c>
      <c r="R41" s="8">
        <f t="shared" si="51"/>
        <v>2.9620853080570848E-3</v>
      </c>
      <c r="S41" s="8">
        <f t="shared" si="51"/>
        <v>-0.19668246445497634</v>
      </c>
      <c r="T41" s="8">
        <f t="shared" si="51"/>
        <v>1.4218009478672283E-2</v>
      </c>
      <c r="U41" s="8">
        <f t="shared" si="51"/>
        <v>9.6563981042653693E-2</v>
      </c>
      <c r="V41" s="8">
        <f t="shared" si="51"/>
        <v>0.13752635071089997</v>
      </c>
      <c r="W41" s="8">
        <f t="shared" si="51"/>
        <v>0.46769715639810433</v>
      </c>
      <c r="X41" s="8">
        <f t="shared" ref="X41:AF41" si="52">X39/X40</f>
        <v>0.84001299857819844</v>
      </c>
      <c r="Y41" s="8">
        <f t="shared" si="52"/>
        <v>1.0983145989289091</v>
      </c>
      <c r="Z41" s="8">
        <f t="shared" si="52"/>
        <v>1.278732460804739</v>
      </c>
      <c r="AA41" s="8">
        <f t="shared" si="52"/>
        <v>1.4490967550376306</v>
      </c>
      <c r="AB41" s="8">
        <f t="shared" si="52"/>
        <v>1.6111924285482044</v>
      </c>
      <c r="AC41" s="8">
        <f t="shared" si="52"/>
        <v>1.7489799159674453</v>
      </c>
      <c r="AD41" s="8">
        <f t="shared" si="52"/>
        <v>1.8943015894420514</v>
      </c>
      <c r="AE41" s="8">
        <f t="shared" si="52"/>
        <v>2.0475421226967021</v>
      </c>
      <c r="AF41" s="8">
        <f t="shared" si="52"/>
        <v>2.2091055350819788</v>
      </c>
    </row>
    <row r="43" spans="2:137">
      <c r="B43" s="1" t="s">
        <v>42</v>
      </c>
      <c r="E43" s="10"/>
      <c r="F43" s="10"/>
      <c r="G43" s="10"/>
      <c r="H43" s="10"/>
      <c r="I43" s="10">
        <f t="shared" ref="I43:K45" si="53">I22/E22-1</f>
        <v>-2.4413145539906034E-2</v>
      </c>
      <c r="J43" s="10"/>
      <c r="K43" s="10">
        <f t="shared" si="53"/>
        <v>-3.8497652582159536E-2</v>
      </c>
      <c r="L43" s="10">
        <f>L22/H22-1</f>
        <v>0.26666666666666683</v>
      </c>
      <c r="M43" s="10">
        <f t="shared" ref="M43:N45" si="54">M22/I22-1</f>
        <v>0.12993262752646784</v>
      </c>
      <c r="N43" s="10">
        <f t="shared" si="54"/>
        <v>0.12000000000000011</v>
      </c>
      <c r="P43" s="10"/>
      <c r="Q43" s="10">
        <f t="shared" ref="Q43:T43" si="55">Q22/P22-1</f>
        <v>-8.7674247982391873E-2</v>
      </c>
      <c r="R43" s="10">
        <f t="shared" si="55"/>
        <v>-0.11781262565339756</v>
      </c>
      <c r="S43" s="10">
        <f t="shared" si="55"/>
        <v>0.48222424794895158</v>
      </c>
      <c r="T43" s="10">
        <f t="shared" si="55"/>
        <v>0.23800738007380096</v>
      </c>
      <c r="U43" s="10">
        <f>U22/T22-1</f>
        <v>5.1664182811723691E-2</v>
      </c>
      <c r="V43" s="10">
        <f t="shared" ref="V43:AF43" si="56">V22/U22-1</f>
        <v>0.11946150212564977</v>
      </c>
      <c r="W43" s="10">
        <f t="shared" si="56"/>
        <v>0.10000000000000009</v>
      </c>
      <c r="X43" s="10">
        <f t="shared" si="56"/>
        <v>9.000000000000008E-2</v>
      </c>
      <c r="Y43" s="10">
        <f t="shared" si="56"/>
        <v>6.0000000000000053E-2</v>
      </c>
      <c r="Z43" s="10">
        <f t="shared" si="56"/>
        <v>5.0000000000000044E-2</v>
      </c>
      <c r="AA43" s="10">
        <f t="shared" si="56"/>
        <v>5.0000000000000044E-2</v>
      </c>
      <c r="AB43" s="10">
        <f t="shared" si="56"/>
        <v>5.0000000000000044E-2</v>
      </c>
      <c r="AC43" s="10">
        <f t="shared" si="56"/>
        <v>5.0000000000000044E-2</v>
      </c>
      <c r="AD43" s="10">
        <f t="shared" si="56"/>
        <v>5.0000000000000044E-2</v>
      </c>
      <c r="AE43" s="10">
        <f t="shared" si="56"/>
        <v>5.0000000000000044E-2</v>
      </c>
      <c r="AF43" s="10">
        <f t="shared" si="56"/>
        <v>5.0000000000000044E-2</v>
      </c>
    </row>
    <row r="44" spans="2:137">
      <c r="B44" s="1" t="s">
        <v>43</v>
      </c>
      <c r="E44" s="10"/>
      <c r="F44" s="10"/>
      <c r="G44" s="10"/>
      <c r="H44" s="10"/>
      <c r="I44" s="10">
        <f t="shared" si="53"/>
        <v>2.3200475907198204E-2</v>
      </c>
      <c r="J44" s="10"/>
      <c r="K44" s="10">
        <f t="shared" si="53"/>
        <v>0.17281780902167543</v>
      </c>
      <c r="L44" s="10">
        <f t="shared" ref="L44:L45" si="57">L23/H23-1</f>
        <v>0.11880165289256195</v>
      </c>
      <c r="M44" s="10">
        <f t="shared" si="54"/>
        <v>0.33837209302325566</v>
      </c>
      <c r="N44" s="10">
        <f t="shared" si="54"/>
        <v>0.16999999999999993</v>
      </c>
      <c r="P44" s="10"/>
      <c r="Q44" s="10">
        <f t="shared" ref="Q44:T44" si="58">Q23/P23-1</f>
        <v>0.12160035963137794</v>
      </c>
      <c r="R44" s="10">
        <f t="shared" si="58"/>
        <v>0.18657314629258526</v>
      </c>
      <c r="S44" s="10">
        <f t="shared" si="58"/>
        <v>-3.2089174125992215E-2</v>
      </c>
      <c r="T44" s="10">
        <f t="shared" si="58"/>
        <v>0.10713662537079038</v>
      </c>
      <c r="U44" s="10">
        <f>U23/T23-1</f>
        <v>0.12356185973207245</v>
      </c>
      <c r="V44" s="10">
        <f t="shared" ref="V44:AF44" si="59">V23/U23-1</f>
        <v>0.19739374386309438</v>
      </c>
      <c r="W44" s="10">
        <f t="shared" si="59"/>
        <v>0.25</v>
      </c>
      <c r="X44" s="10">
        <f t="shared" si="59"/>
        <v>0.21999999999999997</v>
      </c>
      <c r="Y44" s="10">
        <f t="shared" si="59"/>
        <v>0.1399999999999999</v>
      </c>
      <c r="Z44" s="10">
        <f t="shared" si="59"/>
        <v>8.0000000000000071E-2</v>
      </c>
      <c r="AA44" s="10">
        <f t="shared" si="59"/>
        <v>6.0000000000000053E-2</v>
      </c>
      <c r="AB44" s="10">
        <f t="shared" si="59"/>
        <v>5.0000000000000044E-2</v>
      </c>
      <c r="AC44" s="10">
        <f t="shared" si="59"/>
        <v>5.0000000000000044E-2</v>
      </c>
      <c r="AD44" s="10">
        <f t="shared" si="59"/>
        <v>5.0000000000000044E-2</v>
      </c>
      <c r="AE44" s="10">
        <f t="shared" si="59"/>
        <v>5.0000000000000044E-2</v>
      </c>
      <c r="AF44" s="10">
        <f t="shared" si="59"/>
        <v>5.0000000000000044E-2</v>
      </c>
    </row>
    <row r="45" spans="2:137">
      <c r="B45" s="1" t="s">
        <v>44</v>
      </c>
      <c r="E45" s="10"/>
      <c r="F45" s="10"/>
      <c r="G45" s="10"/>
      <c r="H45" s="10"/>
      <c r="I45" s="10">
        <f t="shared" si="53"/>
        <v>4.73415877640182E-3</v>
      </c>
      <c r="J45" s="10"/>
      <c r="K45" s="10">
        <f t="shared" si="53"/>
        <v>9.1630591630591729E-2</v>
      </c>
      <c r="L45" s="10">
        <f t="shared" si="57"/>
        <v>0.17127624125291563</v>
      </c>
      <c r="M45" s="10">
        <f t="shared" si="54"/>
        <v>0.2598767669445452</v>
      </c>
      <c r="N45" s="10">
        <f t="shared" si="54"/>
        <v>0.15119039208760165</v>
      </c>
      <c r="P45" s="10"/>
      <c r="Q45" s="10">
        <f t="shared" ref="Q45:T45" si="60">Q24/P24-1</f>
        <v>4.2090592334494747E-2</v>
      </c>
      <c r="R45" s="10">
        <f t="shared" si="60"/>
        <v>8.532834024341307E-2</v>
      </c>
      <c r="S45" s="10">
        <f t="shared" si="60"/>
        <v>0.106962415280345</v>
      </c>
      <c r="T45" s="10">
        <f t="shared" si="60"/>
        <v>0.15451408215518203</v>
      </c>
      <c r="U45" s="10">
        <f>U24/T24-1</f>
        <v>9.5651335454633113E-2</v>
      </c>
      <c r="V45" s="10">
        <f t="shared" ref="V45:AF45" si="61">V24/U24-1</f>
        <v>0.16835518789052206</v>
      </c>
      <c r="W45" s="10">
        <f t="shared" si="61"/>
        <v>0.19644705265584106</v>
      </c>
      <c r="X45" s="10">
        <f t="shared" si="61"/>
        <v>0.17732881811351064</v>
      </c>
      <c r="Y45" s="10">
        <f t="shared" si="61"/>
        <v>0.11568859658436148</v>
      </c>
      <c r="Z45" s="10">
        <f t="shared" si="61"/>
        <v>7.1338279438096563E-2</v>
      </c>
      <c r="AA45" s="10">
        <f t="shared" si="61"/>
        <v>5.7170266147629434E-2</v>
      </c>
      <c r="AB45" s="10">
        <f t="shared" si="61"/>
        <v>5.0000000000000044E-2</v>
      </c>
      <c r="AC45" s="10">
        <f t="shared" si="61"/>
        <v>5.0000000000000044E-2</v>
      </c>
      <c r="AD45" s="10">
        <f t="shared" si="61"/>
        <v>5.0000000000000044E-2</v>
      </c>
      <c r="AE45" s="10">
        <f t="shared" si="61"/>
        <v>5.0000000000000044E-2</v>
      </c>
      <c r="AF45" s="10">
        <f t="shared" si="61"/>
        <v>5.0000000000000044E-2</v>
      </c>
      <c r="AH45" s="1" t="s">
        <v>52</v>
      </c>
      <c r="AI45" s="10">
        <v>-0.01</v>
      </c>
    </row>
    <row r="46" spans="2:137">
      <c r="B46" s="1" t="s">
        <v>45</v>
      </c>
      <c r="E46" s="10">
        <f t="shared" ref="E46" si="62">(E22-E25)/E25</f>
        <v>0.34810126582278483</v>
      </c>
      <c r="F46" s="10"/>
      <c r="G46" s="10">
        <f t="shared" ref="G46:K46" si="63">(G22-G25)/G22</f>
        <v>0.25633802816901408</v>
      </c>
      <c r="H46" s="10">
        <f t="shared" si="63"/>
        <v>0.27699530516431925</v>
      </c>
      <c r="I46" s="10">
        <f t="shared" si="63"/>
        <v>0.26179018286814248</v>
      </c>
      <c r="J46" s="10">
        <f t="shared" si="63"/>
        <v>0.27605633802816892</v>
      </c>
      <c r="K46" s="10">
        <f t="shared" si="63"/>
        <v>0.2607421875</v>
      </c>
      <c r="L46" s="10">
        <f>(L22-L25)/L22</f>
        <v>0.20533728687916977</v>
      </c>
      <c r="M46" s="10">
        <f t="shared" ref="M46:N46" si="64">(M22-M25)/M22</f>
        <v>0.22316865417376491</v>
      </c>
      <c r="N46" s="10">
        <f t="shared" si="64"/>
        <v>0.25000000000000006</v>
      </c>
      <c r="P46" s="10">
        <f t="shared" ref="P46:U46" si="65">(P22-P25)/P22</f>
        <v>0.2956713132795305</v>
      </c>
      <c r="Q46" s="10">
        <f t="shared" si="65"/>
        <v>0.266184157619622</v>
      </c>
      <c r="R46" s="10">
        <f t="shared" si="65"/>
        <v>0.28805834092980864</v>
      </c>
      <c r="S46" s="10">
        <f t="shared" si="65"/>
        <v>0.26506765067650673</v>
      </c>
      <c r="T46" s="10">
        <f t="shared" si="65"/>
        <v>0.24689518132141089</v>
      </c>
      <c r="U46" s="10">
        <f t="shared" si="65"/>
        <v>0.26783183750590456</v>
      </c>
      <c r="V46" s="10">
        <f t="shared" ref="V46:AF46" si="66">(V22-V25)/V22</f>
        <v>0.23296341617789779</v>
      </c>
      <c r="W46" s="10">
        <f t="shared" si="66"/>
        <v>0.25</v>
      </c>
      <c r="X46" s="10">
        <f t="shared" si="66"/>
        <v>0.26</v>
      </c>
      <c r="Y46" s="10">
        <f t="shared" si="66"/>
        <v>0.27000000000000007</v>
      </c>
      <c r="Z46" s="10">
        <f t="shared" si="66"/>
        <v>0.28000000000000003</v>
      </c>
      <c r="AA46" s="10">
        <f t="shared" si="66"/>
        <v>0.29000000000000004</v>
      </c>
      <c r="AB46" s="10">
        <f t="shared" si="66"/>
        <v>0.30000000000000004</v>
      </c>
      <c r="AC46" s="10">
        <f t="shared" si="66"/>
        <v>0.3000000000000001</v>
      </c>
      <c r="AD46" s="10">
        <f t="shared" si="66"/>
        <v>0.30000000000000004</v>
      </c>
      <c r="AE46" s="10">
        <f t="shared" si="66"/>
        <v>0.30000000000000004</v>
      </c>
      <c r="AF46" s="10">
        <f t="shared" si="66"/>
        <v>0.3</v>
      </c>
      <c r="AH46" s="1" t="s">
        <v>53</v>
      </c>
      <c r="AI46" s="10">
        <v>0.09</v>
      </c>
    </row>
    <row r="47" spans="2:137">
      <c r="B47" s="1" t="s">
        <v>46</v>
      </c>
      <c r="E47" s="10">
        <f t="shared" ref="E47" si="67">(E23-E26)/E26</f>
        <v>0.3756137479541734</v>
      </c>
      <c r="F47" s="10"/>
      <c r="G47" s="10">
        <f t="shared" ref="G47:K47" si="68">(G23-G26)/G23</f>
        <v>0.25600468658465136</v>
      </c>
      <c r="H47" s="10">
        <f t="shared" si="68"/>
        <v>0.2463842975206611</v>
      </c>
      <c r="I47" s="10">
        <f t="shared" si="68"/>
        <v>0.2441860465116279</v>
      </c>
      <c r="J47" s="10">
        <f t="shared" si="68"/>
        <v>0.22876557191392938</v>
      </c>
      <c r="K47" s="10">
        <f t="shared" si="68"/>
        <v>0.23426573426573416</v>
      </c>
      <c r="L47" s="10">
        <f>(L23-L26)/L23</f>
        <v>0.21283471837488455</v>
      </c>
      <c r="M47" s="10">
        <f t="shared" ref="M47:N47" si="69">(M23-M26)/M23</f>
        <v>0.22111207645525621</v>
      </c>
      <c r="N47" s="10">
        <f t="shared" si="69"/>
        <v>0.22999999999999998</v>
      </c>
      <c r="P47" s="10">
        <f t="shared" ref="P47:U47" si="70">(P23-P26)/P23</f>
        <v>0.24589795459653851</v>
      </c>
      <c r="Q47" s="10">
        <f t="shared" si="70"/>
        <v>0.27454909819639278</v>
      </c>
      <c r="R47" s="10">
        <f t="shared" si="70"/>
        <v>0.2734335416314812</v>
      </c>
      <c r="S47" s="10">
        <f t="shared" si="70"/>
        <v>0.24393648577909616</v>
      </c>
      <c r="T47" s="10">
        <f t="shared" si="70"/>
        <v>0.26666666666666666</v>
      </c>
      <c r="U47" s="10">
        <f t="shared" si="70"/>
        <v>0.24379295833917794</v>
      </c>
      <c r="V47" s="10">
        <f t="shared" ref="V47:AF47" si="71">(V23-V26)/V23</f>
        <v>0.22424803953037759</v>
      </c>
      <c r="W47" s="10">
        <f t="shared" si="71"/>
        <v>0.24</v>
      </c>
      <c r="X47" s="10">
        <f t="shared" si="71"/>
        <v>0.25</v>
      </c>
      <c r="Y47" s="10">
        <f t="shared" si="71"/>
        <v>0.25000000000000006</v>
      </c>
      <c r="Z47" s="10">
        <f t="shared" si="71"/>
        <v>0.24999999999999997</v>
      </c>
      <c r="AA47" s="10">
        <f t="shared" si="71"/>
        <v>0.25000000000000006</v>
      </c>
      <c r="AB47" s="10">
        <f t="shared" si="71"/>
        <v>0.25000000000000006</v>
      </c>
      <c r="AC47" s="10">
        <f t="shared" si="71"/>
        <v>0.25000000000000006</v>
      </c>
      <c r="AD47" s="10">
        <f t="shared" si="71"/>
        <v>0.25000000000000006</v>
      </c>
      <c r="AE47" s="10">
        <f t="shared" si="71"/>
        <v>0.24999999999999994</v>
      </c>
      <c r="AF47" s="10">
        <f t="shared" si="71"/>
        <v>0.25000000000000006</v>
      </c>
      <c r="AH47" s="1" t="s">
        <v>54</v>
      </c>
      <c r="AI47" s="6">
        <f>NPV(AI46,V39:EG39)</f>
        <v>2779.9766219686608</v>
      </c>
    </row>
    <row r="48" spans="2:137">
      <c r="B48" s="1" t="s">
        <v>47</v>
      </c>
      <c r="E48" s="10"/>
      <c r="F48" s="10"/>
      <c r="G48" s="10">
        <f t="shared" ref="G48:K48" si="72">G28/G24</f>
        <v>0.25613275613275616</v>
      </c>
      <c r="H48" s="10">
        <f t="shared" si="72"/>
        <v>0.25724758413862048</v>
      </c>
      <c r="I48" s="10">
        <f t="shared" si="72"/>
        <v>0.25081551286698078</v>
      </c>
      <c r="J48" s="10">
        <f t="shared" si="72"/>
        <v>0.24655598728364503</v>
      </c>
      <c r="K48" s="10">
        <f t="shared" si="72"/>
        <v>0.24322538003965638</v>
      </c>
      <c r="L48" s="10">
        <f>L28/L24</f>
        <v>0.20995732574679946</v>
      </c>
      <c r="M48" s="10">
        <f t="shared" ref="M48:N48" si="73">M28/M24</f>
        <v>0.22180667433831996</v>
      </c>
      <c r="N48" s="10">
        <f t="shared" si="73"/>
        <v>0.23731999189940539</v>
      </c>
      <c r="P48" s="10">
        <f t="shared" ref="P48:U48" si="74">P28/P24</f>
        <v>0.26480836236933797</v>
      </c>
      <c r="Q48" s="10">
        <f t="shared" si="74"/>
        <v>0.2717667513708707</v>
      </c>
      <c r="R48" s="10">
        <f t="shared" si="74"/>
        <v>0.27738755391250774</v>
      </c>
      <c r="S48" s="10">
        <f t="shared" si="74"/>
        <v>0.2515863297339419</v>
      </c>
      <c r="T48" s="10">
        <f t="shared" si="74"/>
        <v>0.25899141837816986</v>
      </c>
      <c r="U48" s="10">
        <f t="shared" si="74"/>
        <v>0.25275015400862444</v>
      </c>
      <c r="V48" s="10">
        <f t="shared" ref="V48:AF48" si="75">V28/V24</f>
        <v>0.22735960024163862</v>
      </c>
      <c r="W48" s="10">
        <f t="shared" si="75"/>
        <v>0.24328239860665302</v>
      </c>
      <c r="X48" s="10">
        <f t="shared" si="75"/>
        <v>0.25303892542695472</v>
      </c>
      <c r="Y48" s="10">
        <f t="shared" si="75"/>
        <v>0.25577448037460243</v>
      </c>
      <c r="Z48" s="10">
        <f t="shared" si="75"/>
        <v>0.25848920155711136</v>
      </c>
      <c r="AA48" s="10">
        <f t="shared" si="75"/>
        <v>0.2612421646356598</v>
      </c>
      <c r="AB48" s="10">
        <f t="shared" si="75"/>
        <v>0.26405270579457485</v>
      </c>
      <c r="AC48" s="10">
        <f t="shared" si="75"/>
        <v>0.26405270579457479</v>
      </c>
      <c r="AD48" s="10">
        <f t="shared" si="75"/>
        <v>0.26405270579457485</v>
      </c>
      <c r="AE48" s="10">
        <f t="shared" si="75"/>
        <v>0.26405270579457468</v>
      </c>
      <c r="AF48" s="10">
        <f t="shared" si="75"/>
        <v>0.26405270579457479</v>
      </c>
      <c r="AH48" s="1" t="s">
        <v>55</v>
      </c>
      <c r="AI48" s="6">
        <f>Main!D8</f>
        <v>565.9</v>
      </c>
    </row>
    <row r="49" spans="2:35">
      <c r="B49" s="1" t="s">
        <v>48</v>
      </c>
      <c r="E49" s="10"/>
      <c r="F49" s="10"/>
      <c r="G49" s="10"/>
      <c r="H49" s="10"/>
      <c r="I49" s="10">
        <f t="shared" ref="I49:K49" si="76">I29/E29-1</f>
        <v>3.3398821218074692E-2</v>
      </c>
      <c r="J49" s="10"/>
      <c r="K49" s="10">
        <f t="shared" si="76"/>
        <v>4.7794117647058876E-2</v>
      </c>
      <c r="L49" s="10">
        <f>L29/H29-1</f>
        <v>9.9082568807339344E-2</v>
      </c>
      <c r="M49" s="10">
        <f t="shared" ref="M49:N49" si="77">M29/I29-1</f>
        <v>0.13688212927756638</v>
      </c>
      <c r="N49" s="10">
        <f t="shared" si="77"/>
        <v>8.0000000000000071E-2</v>
      </c>
      <c r="P49" s="10"/>
      <c r="Q49" s="10">
        <f t="shared" ref="Q49:T49" si="78">Q29/P29-1</f>
        <v>0.10474006116207946</v>
      </c>
      <c r="R49" s="10">
        <f t="shared" si="78"/>
        <v>0.10865051903114176</v>
      </c>
      <c r="S49" s="10">
        <f t="shared" si="78"/>
        <v>0.14107365792759063</v>
      </c>
      <c r="T49" s="10">
        <f t="shared" si="78"/>
        <v>8.2056892778993529E-2</v>
      </c>
      <c r="U49" s="10">
        <f>U29/T29-1</f>
        <v>8.1900910010111128E-2</v>
      </c>
      <c r="V49" s="10">
        <f t="shared" ref="V49:AF49" si="79">V29/U29-1</f>
        <v>9.0654205607476612E-2</v>
      </c>
      <c r="W49" s="10">
        <f t="shared" si="79"/>
        <v>4.0000000000000036E-2</v>
      </c>
      <c r="X49" s="10">
        <f t="shared" si="79"/>
        <v>3.0000000000000027E-2</v>
      </c>
      <c r="Y49" s="10">
        <f t="shared" si="79"/>
        <v>2.0000000000000018E-2</v>
      </c>
      <c r="Z49" s="10">
        <f t="shared" si="79"/>
        <v>2.0000000000000018E-2</v>
      </c>
      <c r="AA49" s="10">
        <f t="shared" si="79"/>
        <v>1.0000000000000009E-2</v>
      </c>
      <c r="AB49" s="10">
        <f t="shared" si="79"/>
        <v>1.0000000000000009E-2</v>
      </c>
      <c r="AC49" s="10">
        <f t="shared" si="79"/>
        <v>1.0000000000000009E-2</v>
      </c>
      <c r="AD49" s="10">
        <f t="shared" si="79"/>
        <v>1.0000000000000009E-2</v>
      </c>
      <c r="AE49" s="10">
        <f t="shared" si="79"/>
        <v>1.0000000000000009E-2</v>
      </c>
      <c r="AF49" s="10">
        <f t="shared" si="79"/>
        <v>1.0000000000000009E-2</v>
      </c>
      <c r="AH49" s="1" t="s">
        <v>56</v>
      </c>
      <c r="AI49" s="6">
        <f>AI47+AI48</f>
        <v>3345.8766219686609</v>
      </c>
    </row>
    <row r="50" spans="2:35">
      <c r="B50" s="1" t="s">
        <v>49</v>
      </c>
      <c r="E50" s="10"/>
      <c r="F50" s="10"/>
      <c r="G50" s="10"/>
      <c r="H50" s="10"/>
      <c r="I50" s="10">
        <f t="shared" ref="I50:K50" si="80">I31/E31-1</f>
        <v>-3.8834951456310662E-2</v>
      </c>
      <c r="J50" s="10"/>
      <c r="K50" s="10">
        <f t="shared" si="80"/>
        <v>4.1666666666666741E-2</v>
      </c>
      <c r="L50" s="10">
        <f>L31/H31-1</f>
        <v>0</v>
      </c>
      <c r="M50" s="10">
        <f t="shared" ref="M50:N50" si="81">M31/I31-1</f>
        <v>1.0101010101010166E-2</v>
      </c>
      <c r="N50" s="10">
        <f t="shared" si="81"/>
        <v>3.7735849056603765E-2</v>
      </c>
      <c r="P50" s="10"/>
      <c r="Q50" s="10">
        <f t="shared" ref="Q50:T50" si="82">Q31/P31-1</f>
        <v>0.5</v>
      </c>
      <c r="R50" s="10">
        <f t="shared" si="82"/>
        <v>0.30370370370370381</v>
      </c>
      <c r="S50" s="10">
        <f t="shared" si="82"/>
        <v>9.659090909090895E-2</v>
      </c>
      <c r="T50" s="10">
        <f t="shared" si="82"/>
        <v>-5.1813471502590858E-3</v>
      </c>
      <c r="U50" s="10">
        <f>U31/T31-1</f>
        <v>4.9479166666666741E-2</v>
      </c>
      <c r="V50" s="10">
        <f t="shared" ref="V50:AF50" si="83">V31/U31-1</f>
        <v>2.2332506203474045E-2</v>
      </c>
      <c r="W50" s="10">
        <f t="shared" si="83"/>
        <v>2.0000000000000018E-2</v>
      </c>
      <c r="X50" s="10">
        <f t="shared" si="83"/>
        <v>2.0000000000000018E-2</v>
      </c>
      <c r="Y50" s="10">
        <f t="shared" si="83"/>
        <v>2.0000000000000018E-2</v>
      </c>
      <c r="Z50" s="10">
        <f t="shared" si="83"/>
        <v>2.0000000000000018E-2</v>
      </c>
      <c r="AA50" s="10">
        <f t="shared" si="83"/>
        <v>2.0000000000000018E-2</v>
      </c>
      <c r="AB50" s="10">
        <f t="shared" si="83"/>
        <v>2.0000000000000018E-2</v>
      </c>
      <c r="AC50" s="10">
        <f t="shared" si="83"/>
        <v>2.0000000000000018E-2</v>
      </c>
      <c r="AD50" s="10">
        <f t="shared" si="83"/>
        <v>2.0000000000000018E-2</v>
      </c>
      <c r="AE50" s="10">
        <f t="shared" si="83"/>
        <v>2.0000000000000018E-2</v>
      </c>
      <c r="AF50" s="10">
        <f t="shared" si="83"/>
        <v>2.0000000000000018E-2</v>
      </c>
      <c r="AH50" s="1" t="s">
        <v>57</v>
      </c>
      <c r="AI50" s="4">
        <f>AI49/AF40</f>
        <v>19.821543969008655</v>
      </c>
    </row>
    <row r="51" spans="2:35">
      <c r="B51" s="1" t="s">
        <v>50</v>
      </c>
      <c r="E51" s="10">
        <f t="shared" ref="E51:K51" si="84">E34/E24</f>
        <v>4.4428259286234631E-2</v>
      </c>
      <c r="F51" s="10"/>
      <c r="G51" s="10">
        <f t="shared" si="84"/>
        <v>2.5252525252525252E-2</v>
      </c>
      <c r="H51" s="10">
        <f t="shared" si="84"/>
        <v>4.1652782405864758E-2</v>
      </c>
      <c r="I51" s="10">
        <f t="shared" si="84"/>
        <v>2.3559260601667222E-2</v>
      </c>
      <c r="J51" s="10">
        <f t="shared" si="84"/>
        <v>1.0596962204167738E-2</v>
      </c>
      <c r="K51" s="10">
        <f t="shared" si="84"/>
        <v>2.1810971579643165E-2</v>
      </c>
      <c r="L51" s="10">
        <f>L34/L24</f>
        <v>1.0526315789473733E-2</v>
      </c>
      <c r="M51" s="10">
        <f t="shared" ref="M51:N51" si="85">M34/M24</f>
        <v>2.0425776754890743E-2</v>
      </c>
      <c r="N51" s="10">
        <f t="shared" si="85"/>
        <v>2.9588833453001184E-2</v>
      </c>
      <c r="P51" s="10">
        <f t="shared" ref="P51:T51" si="86">P34/P24</f>
        <v>5.2961672473867558E-2</v>
      </c>
      <c r="Q51" s="10">
        <f t="shared" si="86"/>
        <v>3.9186839641567564E-2</v>
      </c>
      <c r="R51" s="10">
        <f t="shared" si="86"/>
        <v>3.4380776340110948E-2</v>
      </c>
      <c r="S51" s="10">
        <f t="shared" si="86"/>
        <v>-3.2283201603028008E-3</v>
      </c>
      <c r="T51" s="10">
        <f t="shared" si="86"/>
        <v>2.9987465046764906E-2</v>
      </c>
      <c r="U51" s="10">
        <f>U34/U24</f>
        <v>2.5521429200035153E-2</v>
      </c>
      <c r="V51" s="10">
        <f t="shared" ref="V51:AF51" si="87">V34/V24</f>
        <v>2.0369854820947775E-2</v>
      </c>
      <c r="W51" s="10">
        <f t="shared" si="87"/>
        <v>6.4008277483300083E-2</v>
      </c>
      <c r="X51" s="10">
        <f t="shared" si="87"/>
        <v>9.6423564690489946E-2</v>
      </c>
      <c r="Y51" s="10">
        <f t="shared" si="87"/>
        <v>0.11259145561280462</v>
      </c>
      <c r="Z51" s="10">
        <f t="shared" si="87"/>
        <v>0.1221674738077459</v>
      </c>
      <c r="AA51" s="10">
        <f t="shared" si="87"/>
        <v>0.13081430311573944</v>
      </c>
      <c r="AB51" s="10">
        <f t="shared" si="87"/>
        <v>0.13841019407022051</v>
      </c>
      <c r="AC51" s="10">
        <f t="shared" si="87"/>
        <v>0.14301848284433513</v>
      </c>
      <c r="AD51" s="10">
        <f t="shared" si="87"/>
        <v>0.14745630612109997</v>
      </c>
      <c r="AE51" s="10">
        <f t="shared" si="87"/>
        <v>0.15173001244248874</v>
      </c>
      <c r="AF51" s="10">
        <f t="shared" si="87"/>
        <v>0.15584571265502159</v>
      </c>
      <c r="AH51" s="1" t="s">
        <v>58</v>
      </c>
      <c r="AI51" s="4">
        <f>Main!D3</f>
        <v>69.14</v>
      </c>
    </row>
    <row r="52" spans="2:35">
      <c r="B52" s="1" t="s">
        <v>25</v>
      </c>
      <c r="E52" s="10">
        <f t="shared" ref="E52:K52" si="88">E38/E37</f>
        <v>0.55882352941176205</v>
      </c>
      <c r="F52" s="10"/>
      <c r="G52" s="10">
        <f t="shared" si="88"/>
        <v>0.67500000000000004</v>
      </c>
      <c r="H52" s="10">
        <f t="shared" si="88"/>
        <v>0.37795275590551142</v>
      </c>
      <c r="I52" s="10">
        <f t="shared" si="88"/>
        <v>0.44827586206896664</v>
      </c>
      <c r="J52" s="10">
        <f t="shared" si="88"/>
        <v>2.5000000000000626E-2</v>
      </c>
      <c r="K52" s="10">
        <f t="shared" si="88"/>
        <v>0.16666666666666596</v>
      </c>
      <c r="L52" s="10">
        <f>L38/L37</f>
        <v>0.36956521739130294</v>
      </c>
      <c r="M52" s="10">
        <f t="shared" ref="M52:N52" si="89">M38/M37</f>
        <v>0.26446280991735488</v>
      </c>
      <c r="N52" s="10">
        <f t="shared" si="89"/>
        <v>0.2</v>
      </c>
      <c r="P52" s="10">
        <f t="shared" ref="P52:T52" si="90">P38/P37</f>
        <v>0.30573248407643366</v>
      </c>
      <c r="Q52" s="10">
        <f t="shared" si="90"/>
        <v>-10.808823529411658</v>
      </c>
      <c r="R52" s="10">
        <f t="shared" si="90"/>
        <v>0.88636363636362914</v>
      </c>
      <c r="S52" s="10">
        <f t="shared" si="90"/>
        <v>-6.0606060606060597E-3</v>
      </c>
      <c r="T52" s="10">
        <f t="shared" si="90"/>
        <v>0.7837837837837921</v>
      </c>
      <c r="U52" s="10">
        <f>U38/U37</f>
        <v>0.38490566037735929</v>
      </c>
      <c r="V52" s="10">
        <f t="shared" ref="V52:AF52" si="91">V38/V37</f>
        <v>0.24488817964119447</v>
      </c>
      <c r="W52" s="10">
        <f t="shared" si="91"/>
        <v>0.20000000000000004</v>
      </c>
      <c r="X52" s="10">
        <f t="shared" si="91"/>
        <v>0.2</v>
      </c>
      <c r="Y52" s="10">
        <f t="shared" si="91"/>
        <v>0.2</v>
      </c>
      <c r="Z52" s="10">
        <f t="shared" si="91"/>
        <v>0.2</v>
      </c>
      <c r="AA52" s="10">
        <f t="shared" si="91"/>
        <v>0.2</v>
      </c>
      <c r="AB52" s="10">
        <f t="shared" si="91"/>
        <v>0.19999999999999998</v>
      </c>
      <c r="AC52" s="10">
        <f t="shared" si="91"/>
        <v>0.2</v>
      </c>
      <c r="AD52" s="10">
        <f t="shared" si="91"/>
        <v>0.20000000000000004</v>
      </c>
      <c r="AE52" s="10">
        <f t="shared" si="91"/>
        <v>0.2</v>
      </c>
      <c r="AF52" s="10">
        <f t="shared" si="91"/>
        <v>0.2</v>
      </c>
      <c r="AH52" s="2" t="s">
        <v>59</v>
      </c>
      <c r="AI52" s="11">
        <f>AI50/AI51-1</f>
        <v>-0.71331293073461599</v>
      </c>
    </row>
    <row r="53" spans="2:35">
      <c r="B53" s="1" t="s">
        <v>51</v>
      </c>
      <c r="E53" s="10">
        <f t="shared" ref="E53:K53" si="92">E39/E24</f>
        <v>1.092498179169713E-2</v>
      </c>
      <c r="F53" s="10"/>
      <c r="G53" s="10">
        <f t="shared" si="92"/>
        <v>4.6897546897546891E-3</v>
      </c>
      <c r="H53" s="10">
        <f t="shared" si="92"/>
        <v>2.6324558480506542E-2</v>
      </c>
      <c r="I53" s="10">
        <f t="shared" si="92"/>
        <v>1.1598405219282296E-2</v>
      </c>
      <c r="J53" s="10">
        <f t="shared" si="92"/>
        <v>1.377605086541818E-2</v>
      </c>
      <c r="K53" s="10">
        <f t="shared" si="92"/>
        <v>1.4871116986120363E-2</v>
      </c>
      <c r="L53" s="10">
        <f>L39/L24</f>
        <v>8.25035561877672E-3</v>
      </c>
      <c r="M53" s="10">
        <f t="shared" ref="M53:N53" si="93">M39/M24</f>
        <v>2.5604142692750353E-2</v>
      </c>
      <c r="N53" s="10">
        <f t="shared" si="93"/>
        <v>2.1216341108676821E-2</v>
      </c>
      <c r="P53" s="10">
        <f t="shared" ref="P53:T53" si="94">P39/P24</f>
        <v>1.519163763066198E-2</v>
      </c>
      <c r="Q53" s="10">
        <f t="shared" si="94"/>
        <v>0.10739601444429593</v>
      </c>
      <c r="R53" s="10">
        <f t="shared" si="94"/>
        <v>6.1614294516332225E-4</v>
      </c>
      <c r="S53" s="10">
        <f t="shared" si="94"/>
        <v>-3.6958699766225102E-2</v>
      </c>
      <c r="T53" s="10">
        <f t="shared" si="94"/>
        <v>2.3141452126119772E-3</v>
      </c>
      <c r="U53" s="10">
        <f>U39/U24</f>
        <v>1.4344803308985254E-2</v>
      </c>
      <c r="V53" s="10">
        <f t="shared" ref="V53:AF53" si="95">V39/V24</f>
        <v>1.7485999569147918E-2</v>
      </c>
      <c r="W53" s="10">
        <f t="shared" si="95"/>
        <v>4.9702220245397048E-2</v>
      </c>
      <c r="X53" s="10">
        <f t="shared" si="95"/>
        <v>7.5822708148633747E-2</v>
      </c>
      <c r="Y53" s="10">
        <f t="shared" si="95"/>
        <v>8.885810509461918E-2</v>
      </c>
      <c r="Z53" s="10">
        <f t="shared" si="95"/>
        <v>9.6565803502100922E-2</v>
      </c>
      <c r="AA53" s="10">
        <f t="shared" si="95"/>
        <v>0.10351329015427119</v>
      </c>
      <c r="AB53" s="10">
        <f t="shared" si="95"/>
        <v>0.10961168201001455</v>
      </c>
      <c r="AC53" s="10">
        <f t="shared" si="95"/>
        <v>0.11331957918637599</v>
      </c>
      <c r="AD53" s="10">
        <f t="shared" si="95"/>
        <v>0.11689069889519914</v>
      </c>
      <c r="AE53" s="10">
        <f t="shared" si="95"/>
        <v>0.1203301276856755</v>
      </c>
      <c r="AF53" s="10">
        <f t="shared" si="95"/>
        <v>0.1236427618036697</v>
      </c>
      <c r="AH53" s="1" t="s">
        <v>60</v>
      </c>
      <c r="AI53" s="7" t="s">
        <v>61</v>
      </c>
    </row>
    <row r="56" spans="2:35">
      <c r="B56" s="1" t="s">
        <v>55</v>
      </c>
    </row>
    <row r="57" spans="2:35">
      <c r="B57" s="1" t="s">
        <v>4</v>
      </c>
    </row>
    <row r="58" spans="2:35">
      <c r="B58" s="1" t="s">
        <v>99</v>
      </c>
    </row>
    <row r="60" spans="2:35" s="34" customFormat="1">
      <c r="B60" s="34" t="s">
        <v>100</v>
      </c>
      <c r="J60" s="34">
        <v>1950.9</v>
      </c>
      <c r="L60" s="34">
        <v>2585.6999999999998</v>
      </c>
      <c r="V60" s="34">
        <v>2423.3000000000002</v>
      </c>
    </row>
    <row r="62" spans="2:35">
      <c r="B62" s="1" t="s">
        <v>101</v>
      </c>
      <c r="L62" s="35"/>
      <c r="V62" s="35">
        <f>Main!$D$9/Model!V60</f>
        <v>4.5825659225023729</v>
      </c>
    </row>
    <row r="63" spans="2:35">
      <c r="B63" s="1" t="s">
        <v>102</v>
      </c>
      <c r="L63" s="10"/>
      <c r="V63" s="10">
        <f>V60/Main!$D$9-1</f>
        <v>-0.78178164440808828</v>
      </c>
    </row>
  </sheetData>
  <phoneticPr fontId="4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2D307-0F41-4E95-B1D6-BCF6AF665BB0}">
  <dimension ref="B2:L40"/>
  <sheetViews>
    <sheetView workbookViewId="0">
      <selection activeCell="G17" sqref="G17"/>
    </sheetView>
  </sheetViews>
  <sheetFormatPr defaultRowHeight="14.4"/>
  <cols>
    <col min="1" max="16384" width="8.88671875" style="1"/>
  </cols>
  <sheetData>
    <row r="2" spans="2:12">
      <c r="B2" s="12"/>
      <c r="E2" s="15" t="s">
        <v>93</v>
      </c>
    </row>
    <row r="3" spans="2:12">
      <c r="B3" s="12"/>
      <c r="E3" s="18"/>
      <c r="F3" s="18"/>
      <c r="G3" s="18"/>
      <c r="H3" s="18"/>
      <c r="I3" s="18"/>
      <c r="J3" s="18"/>
      <c r="K3" s="18"/>
    </row>
    <row r="4" spans="2:12">
      <c r="B4" s="12"/>
      <c r="D4" s="16"/>
      <c r="E4" s="30" t="s">
        <v>94</v>
      </c>
      <c r="F4" s="28">
        <v>2022</v>
      </c>
      <c r="G4" s="28">
        <v>2023</v>
      </c>
      <c r="H4" s="28">
        <v>2024</v>
      </c>
      <c r="I4" s="28">
        <v>2025</v>
      </c>
      <c r="J4" s="28">
        <v>2026</v>
      </c>
      <c r="K4" s="29">
        <v>2027</v>
      </c>
      <c r="L4" s="17"/>
    </row>
    <row r="5" spans="2:12">
      <c r="B5" s="12"/>
      <c r="D5" s="16"/>
      <c r="E5" s="31" t="s">
        <v>95</v>
      </c>
      <c r="F5" s="25" t="s">
        <v>64</v>
      </c>
      <c r="G5" s="25" t="s">
        <v>69</v>
      </c>
      <c r="H5" s="25" t="s">
        <v>74</v>
      </c>
      <c r="I5" s="25" t="s">
        <v>79</v>
      </c>
      <c r="J5" s="26" t="s">
        <v>84</v>
      </c>
      <c r="K5" s="27" t="s">
        <v>89</v>
      </c>
      <c r="L5" s="17"/>
    </row>
    <row r="6" spans="2:12">
      <c r="B6" s="12"/>
      <c r="D6" s="16"/>
      <c r="E6" s="32" t="s">
        <v>96</v>
      </c>
      <c r="F6" s="14" t="s">
        <v>65</v>
      </c>
      <c r="G6" s="14" t="s">
        <v>70</v>
      </c>
      <c r="H6" s="14" t="s">
        <v>75</v>
      </c>
      <c r="I6" s="14" t="s">
        <v>80</v>
      </c>
      <c r="J6" s="13" t="s">
        <v>85</v>
      </c>
      <c r="K6" s="20" t="s">
        <v>90</v>
      </c>
      <c r="L6" s="17"/>
    </row>
    <row r="7" spans="2:12">
      <c r="B7" s="12"/>
      <c r="D7" s="16"/>
      <c r="E7" s="32" t="s">
        <v>97</v>
      </c>
      <c r="F7" s="14" t="s">
        <v>66</v>
      </c>
      <c r="G7" s="14" t="s">
        <v>71</v>
      </c>
      <c r="H7" s="14" t="s">
        <v>76</v>
      </c>
      <c r="I7" s="13" t="s">
        <v>81</v>
      </c>
      <c r="J7" s="13" t="s">
        <v>86</v>
      </c>
      <c r="K7" s="20" t="s">
        <v>91</v>
      </c>
      <c r="L7" s="17"/>
    </row>
    <row r="8" spans="2:12">
      <c r="B8" s="12"/>
      <c r="D8" s="16"/>
      <c r="E8" s="32" t="s">
        <v>98</v>
      </c>
      <c r="F8" s="14" t="s">
        <v>67</v>
      </c>
      <c r="G8" s="14" t="s">
        <v>72</v>
      </c>
      <c r="H8" s="14" t="s">
        <v>77</v>
      </c>
      <c r="I8" s="13" t="s">
        <v>82</v>
      </c>
      <c r="J8" s="13" t="s">
        <v>87</v>
      </c>
      <c r="K8" s="21" t="s">
        <v>92</v>
      </c>
      <c r="L8" s="17"/>
    </row>
    <row r="9" spans="2:12">
      <c r="B9" s="12"/>
      <c r="D9" s="16"/>
      <c r="E9" s="32"/>
      <c r="F9" s="14"/>
      <c r="G9" s="14"/>
      <c r="H9" s="14"/>
      <c r="I9" s="13"/>
      <c r="J9" s="13"/>
      <c r="K9" s="21"/>
      <c r="L9" s="17"/>
    </row>
    <row r="10" spans="2:12">
      <c r="B10" s="12"/>
      <c r="D10" s="16"/>
      <c r="E10" s="33" t="s">
        <v>63</v>
      </c>
      <c r="F10" s="22" t="s">
        <v>68</v>
      </c>
      <c r="G10" s="22" t="s">
        <v>73</v>
      </c>
      <c r="H10" s="22" t="s">
        <v>78</v>
      </c>
      <c r="I10" s="23" t="s">
        <v>83</v>
      </c>
      <c r="J10" s="23" t="s">
        <v>88</v>
      </c>
      <c r="K10" s="24" t="s">
        <v>92</v>
      </c>
      <c r="L10" s="17"/>
    </row>
    <row r="11" spans="2:12">
      <c r="B11" s="12"/>
      <c r="E11" s="19"/>
      <c r="F11" s="19"/>
      <c r="G11" s="19"/>
      <c r="H11" s="19"/>
      <c r="I11" s="19"/>
      <c r="J11" s="19"/>
      <c r="K11" s="19"/>
    </row>
    <row r="12" spans="2:12">
      <c r="B12" s="12"/>
    </row>
    <row r="13" spans="2:12">
      <c r="B13" s="12"/>
    </row>
    <row r="14" spans="2:12">
      <c r="B14" s="12"/>
    </row>
    <row r="15" spans="2:12">
      <c r="B15" s="12"/>
    </row>
    <row r="16" spans="2:12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Model</vt:lpstr>
      <vt:lpstr>Forecasts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2025-09-04T12:08:37Z</dcterms:created>
  <dcterms:modified xsi:type="dcterms:W3CDTF">2025-12-02T15:57:18Z</dcterms:modified>
</cp:coreProperties>
</file>